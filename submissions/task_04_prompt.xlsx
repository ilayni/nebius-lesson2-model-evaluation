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<sst xmlns="http://schemas.openxmlformats.org/spreadsheetml/2006/main" count="349" uniqueCount="227">
  <si>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</si>
  <si>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</si>
  <si>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</si>
  <si>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</si>
  <si>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</si>
  <si>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</si>
  <si>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</si>
  <si>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</si>
  <si>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</si>
  <si>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</si>
  <si>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</si>
  <si>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</si>
  <si>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</si>
  <si>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</si>
  <si>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</si>
  <si>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final_score</t>
  </si>
  <si>
    <t>score</t>
  </si>
  <si>
    <t>Word Count</t>
  </si>
  <si>
    <t>Cost</t>
  </si>
  <si>
    <t>Apple iPhone 15 Pro</t>
  </si>
  <si>
    <t>features: A17 Pro chip, 120 Hz ProMotion display, USB‑C fast charging; dimensions: compact</t>
  </si>
  <si>
    <t>titanium frame, Ceramic Shield glass</t>
  </si>
  <si>
    <t>1‑year limited warranty</t>
  </si>
  <si>
    <t>The Apple iPhone 15 Pro is a powerhouse of performance and sophistication. Experience lightning-fast speeds with the A17 Pro chip, enjoy incredibly smooth scrolling and visuals on the 120Hz ProMotion display, and power up quickly with USB-C fast charging.  Crafted from durable titanium and protected by Ceramic Shield glass, this compact device is built to last.  Backed by Apple's 1-year limited warranty, the iPhone 15 Pro is ready to elevate your mobile experience.</t>
  </si>
  <si>
    <t>good</t>
  </si>
  <si>
    <t>ok</t>
  </si>
  <si>
    <t>pass</t>
  </si>
  <si>
    <t>Samsung Galaxy S24 Ultra</t>
  </si>
  <si>
    <t>features: 200 MP camera, S‑Pen support, 120 Hz AMOLED; sustainably sourced</t>
  </si>
  <si>
    <t>Armor Aluminum frame, Gorilla Glass Victus</t>
  </si>
  <si>
    <t>Experience the pinnacle of mobile innovation with the Samsung Galaxy S24 Ultra.  Capture breathtaking detail with the revolutionary 200 MP camera, perfect for every moment.  The seamless integration of the S-Pen allows for precise control and enhanced productivity. Enjoy smooth, vibrant visuals on the stunning 120 Hz AMOLED display.  Crafted with durable Armor Aluminum and Gorilla Glass Victus, the Galaxy S24 Ultra is built to last.  Backed by a 1-year limited warranty, it's a phone that redefines the possibilities.</t>
  </si>
  <si>
    <t>Google Pixel 8 Pro</t>
  </si>
  <si>
    <t>features: Tensor G3 chip, Magic Eraser, 50 MP camera; rating: 4.7/5</t>
  </si>
  <si>
    <t>matte glass back, aluminum frame</t>
  </si>
  <si>
    <t>The Google Pixel 8 Pro delivers an exceptional smartphone experience powered by the innovative Tensor G3 chip. Capture life's moments with stunning clarity using the 50MP camera, enhanced by the magical capabilities of Magic Eraser.  Its sleek matte glass back and aluminum frame exude a sophisticated style, while the 4.7/5 star rating speaks volumes about its performance and user satisfaction. Backed by a 1-year limited warranty, the Pixel 8 Pro is ready to empower your digital life.</t>
  </si>
  <si>
    <t>Sony WH‑1000XM5 Headphones</t>
  </si>
  <si>
    <t>features: active noise cancelling, 30 hr battery, Bluetooth 5.2; capacity: large</t>
  </si>
  <si>
    <t>synthetic leather earcups</t>
  </si>
  <si>
    <t>Escape into your own world of sound with the Sony WH‑1000XM5 Headphones.  These headphones feature industry-leading active noise cancelling, letting you focus on your music or podcasts, wherever you are. Enjoy up to 30 hours of playtime on a single charge, thanks to the long-lasting battery.  The comfortable synthetic leather earcups make these headphones perfect for extended listening sessions. Connect seamlessly with Bluetooth 5.2 for a stable and reliable listening experience.  Backed by a 1-year limited warranty.</t>
  </si>
  <si>
    <t>fail</t>
  </si>
  <si>
    <t>Bose QuietComfort Ultra Earbuds</t>
  </si>
  <si>
    <t>features: CustomTune sound calibration, ANC, IPX4; award‑winning design</t>
  </si>
  <si>
    <t>silicone ear tips</t>
  </si>
  <si>
    <t>Experience unparalleled audio bliss with the Bose QuietComfort Ultra Earbuds.  These award-winning earbuds boast CustomTune sound calibration, ensuring a personalized listening experience tailored to your unique ear shape.  Immerse yourself in your favorite music or podcasts with industry-leading noise cancellation, while IPX4 water resistance keeps them protected from life's little splashes.  Crafted with comfortable silicone ear tips, the QuietComfort Ultras deliver both exceptional sound and all-day wear. Backed by a 1-year limited warranty, you can enjoy your audio sanctuary with confidence.</t>
  </si>
  <si>
    <t>Amazon Echo Dot (5th Gen)</t>
  </si>
  <si>
    <t>features: Alexa voice assistant, temperature sensor, improved bass; sustainably sourced</t>
  </si>
  <si>
    <t>recycled fabric mesh</t>
  </si>
  <si>
    <t>The Amazon Echo Dot (5th Gen) brings smart home convenience and a touch of eco-consciousness to your space.  Powered by Alexa, this compact device responds to your voice commands, controlling your smart home, playing music, and answering questions.  The improved bass delivers richer sound, while the built-in temperature sensor helps you keep track of your environment. Wrapped in a sustainably sourced recycled fabric mesh, the Echo Dot (5th Gen) is a responsible choice for the modern home. Backed by a 1-year limited warranty.</t>
  </si>
  <si>
    <t>Dell XPS 13 9310 Laptop</t>
  </si>
  <si>
    <t>features: 13.4″ FHD+ display, Intel Core i5, Thunderbolt 4; dimensions: compact</t>
  </si>
  <si>
    <t>CNC aluminum &amp; carbon‑fiber palmrest</t>
  </si>
  <si>
    <t>1‑year limited hardware warranty</t>
  </si>
  <si>
    <t>The Dell XPS 13 9310 Laptop is the perfect blend of power and portability.  Its stunning 13.4″ FHD+ display delivers vibrant visuals, while the Intel Core i5 processor handles demanding tasks with ease.  Connect to peripherals and accessories with blazing-fast speeds thanks to the Thunderbolt 4 port.  Crafted from durable CNC aluminum and a sleek carbon-fiber palmrest, the XPS 13 9310 is both stylish and reliable. Backed by a 1-year limited hardware warranty, you can experience peace of mind with your purchase.</t>
  </si>
  <si>
    <t>Apple MacBook Air 13″ (M3)</t>
  </si>
  <si>
    <t>features: M3 chip, 18‑hour battery, 1080p camera; energy efficient</t>
  </si>
  <si>
    <t>recycled aluminum unibody</t>
  </si>
  <si>
    <t>Experience the power and efficiency of the Apple MacBook Air 13″ (M3). Boasting the groundbreaking M3 chip, this ultra-portable laptop delivers exceptional performance for all your tasks. With an impressive 18-hour battery life, you can stay productive all day long, while the 1080p camera ensures crystal-clear video calls. Crafted from a recycled aluminum unibody, the MacBook Air is both stylish and sustainable.  Backed by a 1-year limited warranty, you can enjoy peace of mind with your purchase.</t>
  </si>
  <si>
    <t>Microsoft Surface Pro 10</t>
  </si>
  <si>
    <t>features: Intel Core Ultra, detachable keyboard, 13″ PixelSense; dimensions: compact</t>
  </si>
  <si>
    <t>magnesium alloy chassis</t>
  </si>
  <si>
    <t>The Microsoft Surface Pro 10 is the ultimate fusion of power and portability.  Equipped with the lightning-fast Intel Core Ultra processor, it effortlessly handles demanding tasks.  The detachable keyboard transforms it from a tablet to a laptop in a snap, adapting to your workflow.  Experience stunning visuals on the vivid 13″ PixelSense display, all within a compact and durable magnesium alloy chassis. Backed by a 1-year limited warranty, the Surface Pro 10 is ready to elevate your productivity.</t>
  </si>
  <si>
    <t>Garmin Forerunner 255</t>
  </si>
  <si>
    <t>features: multi‑band GPS, HRV status, 14‑day battery; rating: 4.7/5</t>
  </si>
  <si>
    <t>fiber‑reinforced polymer</t>
  </si>
  <si>
    <t>The Garmin Forerunner 255 is the ultimate running companion, designed to help you achieve your goals.  Powered by multi-band GPS for precise tracking, it also monitors your HRV status to understand your training readiness.  With an incredible 14-day battery life, you can focus on your runs without worrying about recharging.  Built tough with a fiber-reinforced polymer construction, the Forerunner 255 is ready for anything you throw at it. Backed by a 1-year limited warranty, you can run with confidence.</t>
  </si>
  <si>
    <t>Fitbit Charge 6</t>
  </si>
  <si>
    <t>features: heart‑rate monitor, built‑in GPS, 7‑day battery; color options: multiple</t>
  </si>
  <si>
    <t>aluminum case</t>
  </si>
  <si>
    <t>The Fitbit Charge 6 is your all-in-one fitness companion.  Track your heart rate, explore with built-in GPS, and stay motivated with a 7-day battery life. Available in multiple stylish colors, the sleek aluminum case makes a statement on and off the track.  Enjoy peace of mind with a 1-year limited warranty.</t>
  </si>
  <si>
    <t>GoPro HERO12 Black</t>
  </si>
  <si>
    <t>features: 5.3K60 video, HyperSmooth 6.0, waterproof 10 m; capacity: large</t>
  </si>
  <si>
    <t>rugged polycarbonate</t>
  </si>
  <si>
    <t>Capture life's greatest moments in stunning detail with the GoPro HERO12 Black.  Shoot incredible 5.3K60 video and experience buttery-smooth stabilization with HyperSmooth 6.0.  Built tough with rugged polycarbonate, this camera is waterproof to 10 meters, ready to dive into any adventure.  The large capacity ensures you'll never miss a shot, no matter how epic. Backed by a 1-year limited warranty, the HERO12 Black is your ultimate companion for capturing life's thrills.</t>
  </si>
  <si>
    <t>DJI Mini 4 Pro Drone</t>
  </si>
  <si>
    <t>features: 4K/60fps, omnidirectional obstacle sensing, &lt;250 g; rating: 4.7/5</t>
  </si>
  <si>
    <t>composite plastic</t>
  </si>
  <si>
    <t>Capture stunning footage with the DJI Mini 4 Pro Drone. This lightweight, sub-250g drone boasts a 4K/60fps camera for incredibly smooth and detailed videos.  With omnidirectional obstacle sensing, you can fly with confidence, knowing the Mini 4 Pro will navigate its surroundings seamlessly.  Weighing in at less than 250 grams, it's incredibly portable and perfect for capturing breathtaking aerial shots wherever your adventures take you. Backed by a 4.7/5 star rating and a 1-year limited warranty, the DJI Mini 4 Pro is the ultimate drone for both beginners and experienced pilots.</t>
  </si>
  <si>
    <t>Nintendo Switch OLED</t>
  </si>
  <si>
    <t>features: 7″ OLED screen, docked &amp; handheld modes, 64 GB storage; capacity: large</t>
  </si>
  <si>
    <t>plastic chassis</t>
  </si>
  <si>
    <t>Immerse yourself in vibrant gameplay with the Nintendo Switch OLED. Its stunning 7" OLED screen delivers rich colors and deeper blacks, bringing your favorite games to life like never before. Seamlessly transition between docked and handheld modes, enjoying console-quality visuals wherever you go. With 64GB of spacious storage, you'll have plenty of room to download your game library and embark on countless adventures.</t>
  </si>
  <si>
    <t>PlayStation 5 Slim</t>
  </si>
  <si>
    <t>features: ray tracing, haptic feedback controller, 1 TB SSD; battery: long‑lasting</t>
  </si>
  <si>
    <t>plastic shell</t>
  </si>
  <si>
    <t>Experience next-level gaming with the PlayStation 5 Slim. Immerse yourself in breathtaking worlds with advanced ray tracing technology, feel every detail with the innovative haptic feedback controller, and enjoy lightning-fast load times thanks to its spacious 1TB SSD.  The PlayStation 5 Slim's sleek, plastic shell is designed for comfortable and stylish gaming, while the long-lasting battery ensures countless hours of uninterrupted fun. Backed by a 1-year limited warranty, the PlayStation 5 Slim is ready to elevate your gaming experience.</t>
  </si>
  <si>
    <t>Xbox Series X</t>
  </si>
  <si>
    <t>features: 12 TFLOPS GPU, 1 TB SSD, 4K @ 120 Hz; battery: long‑lasting</t>
  </si>
  <si>
    <t>matte black casing</t>
  </si>
  <si>
    <t>Experience gaming reimagined with the Xbox Series X.  Powered by a lightning-fast 1 TB SSD and a 12 TFLOPS GPU, this console delivers breathtaking 4K visuals at an incredible 120 Hz refresh rate.  Immerse yourself in worlds that come alive with stunning detail and seamless performance.  The matte black casing exudes a sleek, sophisticated look, while the long-lasting battery ensures uninterrupted gameplay. Backed by a 1-year limited warranty, the Xbox Series X is ready to elevate your gaming experience to new heights.</t>
  </si>
  <si>
    <t>Instant Pot Duo 6‑Quart</t>
  </si>
  <si>
    <t>features: 7‑in‑1 multicooker, stainless steel inner pot, 1000 W heating; weight: light</t>
  </si>
  <si>
    <t>18/8 stainless steel</t>
  </si>
  <si>
    <t>The Instant Pot Duo 6-Quart is your kitchen's new best friend. This 7-in-1 multicooker simplifies meal prep with its pressure cooking, slow cooking, sautéing, steaming, yogurt making, warming, and rice cooking functions. Crafted with durable 18/8 stainless steel, including its inner pot, it promises years of reliable performance. The 1000W heating element ensures quick and efficient cooking, while its light weight makes it easy to maneuver. Enjoy culinary versatility and convenience with the Instant Pot Duo 6-Quart, backed by a 1-year limited warranty.</t>
  </si>
  <si>
    <t>Keurig K‑Supreme Plus Smart</t>
  </si>
  <si>
    <t>features: multistream extraction, BrewID, 78 oz reservoir; capacity: large</t>
  </si>
  <si>
    <t>brushed stainless steel accents</t>
  </si>
  <si>
    <t>Elevate your coffee routine with the Keurig K‑Supreme Plus Smart. This smart brewer features innovative multistream extraction technology for a perfectly balanced cup every time.  BrewID technology recognizes your K-Cup pod, optimizing brewing parameters for each delicious flavor. With a large 78 oz reservoir, you can enjoy multiple cups without refills.  The sleek design, accented with brushed stainless steel, adds a touch of sophistication to your kitchen. Backed by a 1-year limited warranty.</t>
  </si>
  <si>
    <t>Vitamix 5200 Blender</t>
  </si>
  <si>
    <t>features: variable speed, 2‑hp motor, self‑cleaning; sustainably sourced</t>
  </si>
  <si>
    <t>BPA‑free Tritan jar</t>
  </si>
  <si>
    <t>7‑year warranty</t>
  </si>
  <si>
    <t>The Vitamix 5200 Blender is the powerhouse you need for all your culinary creations.  With its powerful 2-hp motor and variable speed settings, you can effortlessly blend, puree, and crush ingredients to perfection.  The self-cleaning function makes cleanup a breeze, while the BPA-free Tritan jar ensures safe and durable blending. Backed by an impressive 7-year warranty, the Vitamix 5200 is built to last and is sustainably sourced, so you can feel good about your purchase.</t>
  </si>
  <si>
    <t>Dyson V15 Detect Vacuum</t>
  </si>
  <si>
    <t>features: laser dust detection, HEPA filtration, 60‑min run‑time; energy efficient</t>
  </si>
  <si>
    <t>polycarbonate &amp; aluminum</t>
  </si>
  <si>
    <t>2‑year parts &amp; labor</t>
  </si>
  <si>
    <t>Unleash the power of precision cleaning with the Dyson V15 Detect. This innovative vacuum features laser dust detection, illuminating hidden particles for a thorough clean.  HEPA filtration captures allergens and fine dust, ensuring cleaner air for your home.  Enjoy up to 60 minutes of powerful suction on a single charge, all while being energy efficient.  Crafted from durable polycarbonate and aluminum, the V15 Detect is built to last, backed by a 2-year parts and labor warranty.</t>
  </si>
  <si>
    <t>iRobot Roomba j7+</t>
  </si>
  <si>
    <t>features: PrecisionVision navigation, self‑emptying Clean Base, Alexa; award‑winning design</t>
  </si>
  <si>
    <t>plastic housing</t>
  </si>
  <si>
    <t>The iRobot Roomba j7+ revolutionizes home cleaning. With PrecisionVision navigation, it intelligently maps and avoids obstacles, ensuring every corner is spotless. The self-emptying Clean Base keeps your floors clean and your hands free, while seamless Alexa integration lets you control it with your voice.  This award-winning robot vacuum boasts a sleek plastic housing and is backed by a 1-year limited warranty, making it the perfect choice for a cleaner, smarter home.</t>
  </si>
  <si>
    <t>Yeti Rambler 20 oz Tumbler</t>
  </si>
  <si>
    <t>features: double‑wall vacuum insulated, MagSlider lid; dimensions: compact</t>
  </si>
  <si>
    <t>kitchen‑grade stainless steel</t>
  </si>
  <si>
    <t>5‑year warranty</t>
  </si>
  <si>
    <t>The Yeti Rambler 20 oz Tumbler is built for adventure, keeping your drinks ice cold or piping hot for hours.  Its double-wall vacuum insulation prevents temperature transfer, while the MagSlider lid ensures a secure seal and easy one-handed operation. Crafted from durable kitchen-grade stainless steel, this compact tumbler is ready for anything. Backed by Yeti's legendary 5-year warranty, you can be confident in its lasting quality.</t>
  </si>
  <si>
    <t>Stanley Quencher H2.0 40 oz</t>
  </si>
  <si>
    <t>features: vacuum insulated, flow‑state lid, cup‑holder friendly; battery: long‑lasting</t>
  </si>
  <si>
    <t>recycled stainless steel</t>
  </si>
  <si>
    <t>lifetime warranty</t>
  </si>
  <si>
    <t>The Stanley Quencher H2.0 40oz is your ultimate hydration companion. This tumbler keeps your drinks icy cold or piping hot for hours thanks to its vacuum insulation. The innovative flow-state lid makes sipping a breeze, while the cup-holder friendly design ensures you can take it on the go. Crafted from durable, recycled stainless steel, the Stanley Quencher H2.0 is built to last a lifetime, just like its impressive warranty.</t>
  </si>
  <si>
    <t>Hydro Flask 32 oz Wide Mouth</t>
  </si>
  <si>
    <t>features: TempShield insulation, Color Last powder coat; dimensions: compact</t>
  </si>
  <si>
    <t>pro‑grade stainless steel</t>
  </si>
  <si>
    <t>The Hydro Flask 32oz Wide Mouth is your perfect hydration companion, wherever adventure takes you.  Built with pro-grade stainless steel and TempShield insulation, it keeps your drinks ice cold for 24 hours or piping hot for 12.  The Color Last powder coat ensures your flask looks as good as new, even after countless adventures. Compact and ready to go, it's backed by a lifetime warranty, proving its built to last.</t>
  </si>
  <si>
    <t>Contigo Autoseal West Loop 16 oz</t>
  </si>
  <si>
    <t>features: autoseal spill‑proof lid, double‑wall insulation; dimensions: compact</t>
  </si>
  <si>
    <t>stainless steel</t>
  </si>
  <si>
    <t>The Contigo Autoseal West Loop 16 oz is your perfect everyday companion.  Its autoseal lid ensures worry-free sipping, keeping spills at bay while its double-wall insulation keeps your drinks hot or cold for hours. Crafted from durable stainless steel, this compact tumbler is built to last.  And with a lifetime warranty, you can enjoy your West Loop with confidence, day after day.</t>
  </si>
  <si>
    <t>Nike Air Zoom Pegasus 40</t>
  </si>
  <si>
    <t>features: React foam, Zoom Air units, engineered mesh upper; energy efficient</t>
  </si>
  <si>
    <t>textile &amp; synthetic</t>
  </si>
  <si>
    <t>2‑year manufacturer warranty</t>
  </si>
  <si>
    <t>Run farther and feel lighter with the Nike Air Zoom Pegasus 40.  This performance-driven shoe  features responsive React foam cushioning and Zoom Air units for a springy, efficient stride. The engineered mesh upper provides breathable comfort, mile after mile. Built to elevate your runs, the Pegasus 40 is covered by a 2-year manufacturer warranty.</t>
  </si>
  <si>
    <t>Adidas Ultraboost Light</t>
  </si>
  <si>
    <t>features: Light BOOST midsole, Primeknit+ upper, Continental rubber; rating: 4.7/5</t>
  </si>
  <si>
    <t>Experience the ultimate lightness and comfort with the Adidas Ultraboost Light. Featuring a responsive Light BOOST midsole and a breathable Primeknit+ upper, these shoes are designed for effortless movement.  The grippy Continental rubber outsole provides exceptional traction on any surface. With a 4.7/5 star rating and a 2-year manufacturer warranty, you can trust the Ultraboost Light to deliver exceptional performance and lasting quality.</t>
  </si>
  <si>
    <t>The North Face ThermoBall Eco Jacket</t>
  </si>
  <si>
    <t>features: synthetic ThermoBall insulation, DWR finish; dimensions: compact</t>
  </si>
  <si>
    <t>100% recycled nylon</t>
  </si>
  <si>
    <t>The North Face ThermoBall Eco Jacket is your go-to for warmth and sustainability.  Its synthetic ThermoBall insulation mimics the cozy feel of down, while the DWR finish sheds light rain and snow. Crafted from 100% recycled nylon, this jacket is designed to keep you comfortable and help protect our planet.  The compact design makes it perfect for layering or packing for adventures, and its lifetime warranty ensures lasting warmth and reliability.</t>
  </si>
  <si>
    <t>Patagonia Black Hole 32 L Backpack</t>
  </si>
  <si>
    <t>features: weather‑resistant, laptop sleeve, padded straps; capacity: large</t>
  </si>
  <si>
    <t>100% recycled polyester ripstop</t>
  </si>
  <si>
    <t>The Patagonia Black Hole 32L Backpack is built for adventure, no matter the weather. Crafted from durable, 100% recycled polyester ripstop, this large-capacity pack withstands the elements with its weather-resistant design.  A padded laptop sleeve keeps your tech secure, while ergonomic, padded straps ensure comfortable carrying, even when fully loaded.  Backed by Patagonia's legendary lifetime warranty, the Black Hole 32L is an investment in lasting quality and responsible exploration.</t>
  </si>
  <si>
    <t>Osprey Farpoint 40</t>
  </si>
  <si>
    <t>features: stowaway harness, laptop sleeve, carry‑on size; energy efficient</t>
  </si>
  <si>
    <t>450D recycled nylon</t>
  </si>
  <si>
    <t>The Osprey Farpoint 40 is the perfect travel companion for the modern adventurer. This carry-on sized bag features a lightweight, durable 450D recycled nylon construction and a stowaway harness for easy transitions between carry-on and backpack mode.  A dedicated laptop sleeve keeps your electronics safe and secure, while the energy-efficient design ensures you travel light and sustainably. Backed by Osprey's legendary lifetime warranty, the Farpoint 40 is built to last a lifetime of journeys.</t>
  </si>
  <si>
    <t>LEGO Star Wars Millennium Falcon 75192</t>
  </si>
  <si>
    <t>features: 7 541 pieces, detailed interior, minifigs included; battery: long‑lasting</t>
  </si>
  <si>
    <t>ABS plastic bricks</t>
  </si>
  <si>
    <t>lifetime replacement of missing bricks</t>
  </si>
  <si>
    <t>Embark on an epic build with the LEGO Star Wars Millennium Falcon 75192. This iconic ship comes to life with 7,541 detailed pieces, including a comprehensive interior and a crew of minifigs ready for adventure. Crafted from durable ABS plastic bricks, this set is built to withstand years of play and display.  LEGO's commitment to quality is evident in their lifetime replacement policy for missing bricks, ensuring your Falcon remains in pristine condition.</t>
  </si>
  <si>
    <t>LEGO Icons Botanical Orchid 10311</t>
  </si>
  <si>
    <t>features: 608 pieces, adjustable blooms, decorative set; color options: multiple</t>
  </si>
  <si>
    <t>Bring the beauty of nature indoors with the LEGO Icons Botanical Orchid 10311. This stunning set features 608 colorful ABS plastic bricks, allowing you to build a lifelike orchid with adjustable blooms for a personalized touch.  More than just a decorative piece, the 10311 Orchid will inspire creativity and relaxation as you meticulously assemble each petal and stem. And with LEGO's lifetime replacement of missing bricks, you can be sure your orchid will bloom forever.</t>
  </si>
  <si>
    <t>Kindle Paperwhite 11th Gen</t>
  </si>
  <si>
    <t>features: 6.8″ glare‑free display, 10‑week battery, USB‑C; dimensions: compact</t>
  </si>
  <si>
    <t>recycled plastic</t>
  </si>
  <si>
    <t>Escape into a world of words with the Kindle Paperwhite 11th Gen.  Its expansive 6.8” glare-free display makes reading comfortable, even in bright sunlight. Enjoy weeks of reading pleasure on a single charge, thanks to the impressive 10-week battery life.  The compact design and USB-C charging make it incredibly portable and convenient.  Crafted with recycled plastic, the Kindle Paperwhite 11th Gen is kind to the planet as well as your eyes. Backed by a 1-year limited warranty, it's the perfect companion for your next literary adventure.</t>
  </si>
  <si>
    <t>Kobo Libra 2</t>
  </si>
  <si>
    <t>features: 7″ E Ink Carta, Bluetooth audiobooks, waterproof IPX8; weight: light</t>
  </si>
  <si>
    <t>The Kobo Libra 2 is your perfect reading companion, ready for any adventure.  With its expansive 7” E Ink Carta display, you'll lose yourself in hours of comfortable reading.  Pair it with Bluetooth headphones to enjoy audiobooks, or take it to the beach knowing it's fully waterproof with IPX8 protection.  Lightweight and portable, the Libra 2 slips easily into any bag, making it ideal for reading on the go.</t>
  </si>
  <si>
    <t>Anker Soundcore Motion+ Speaker</t>
  </si>
  <si>
    <t>features: 30 W audio, Hi‑Res, IPX7 waterproof; energy efficient</t>
  </si>
  <si>
    <t>aluminum grille</t>
  </si>
  <si>
    <t>18‑month warranty</t>
  </si>
  <si>
    <t>The Anker Soundcore Motion+ Speaker delivers powerful, immersive audio wherever you go.  With 30W of high-resolution sound and an IPX7 waterproof rating, it's ready for any adventure.  Enjoy crystal-clear highs and deep bass, knowing it's built to withstand the elements. Its sleek aluminum grille adds a touch of style, while Anker's commitment to energy efficiency ensures long-lasting performance.  Backed by an 18-month warranty, the Motion+ is your perfect companion for music on the move.</t>
  </si>
  <si>
    <t>Sonos Move 2</t>
  </si>
  <si>
    <t>features: WiFi &amp; Bluetooth, 24‑hr battery, automatic Trueplay; rating: 4.7/5</t>
  </si>
  <si>
    <t>shock‑resistant shell</t>
  </si>
  <si>
    <t>The Sonos Move 2 is your portable sound companion, ready for any adventure.  Stream seamlessly with WiFi and Bluetooth connectivity, enjoying up to 24 hours of playtime on a single charge.  Automatic Trueplay technology ensures perfect audio, no matter the location.  Crafted with a durable, shock-resistant shell, the Move 2 delivers exceptional sound wherever life takes you. Backed by a 1-year limited warranty.</t>
  </si>
  <si>
    <t>Philips Hue White &amp; Color Ambiance Starter Kit</t>
  </si>
  <si>
    <t>features: 16 million colors, Bluetooth &amp; Zigbee, voice control; limited edition</t>
  </si>
  <si>
    <t>plastic bulbs</t>
  </si>
  <si>
    <t>2‑year limited warranty</t>
  </si>
  <si>
    <t>Unleash a world of color and ambiance with the Philips Hue White &amp; Color Ambiance Starter Kit.  This limited edition kit lets you choose from 16 million vibrant colors to transform any space.  Control your lights effortlessly with Bluetooth or Zigbee connectivity, and use your voice to set the mood with compatible assistants. Illuminate your creativity and personalize your home with the magic of Philips Hue. Backed by a 2-year limited warranty.</t>
  </si>
  <si>
    <t>TP‑Link Deco XE75 Mesh WiFi 6E</t>
  </si>
  <si>
    <t>features: tri‑band AXE5400, 3‑pack covers 7 200 sq ft; battery: long‑lasting</t>
  </si>
  <si>
    <t>plastic</t>
  </si>
  <si>
    <t>Experience seamless, blazing-fast WiFi throughout your entire home with the TP-Link Deco XE75 Mesh WiFi 6E system.  This powerful 3-pack covers up to 7,200 sq ft with tri-band AXE5400 speed, delivering lag-free streaming, gaming, and video calls. Enjoy long-lasting battery life and worry-free connectivity with TP-Link's reliable performance. Backed by a 2-year limited warranty, the Deco XE75 is your solution for a truly connected home.</t>
  </si>
  <si>
    <t>Eufy Video Doorbell Dual</t>
  </si>
  <si>
    <t>features: dual camera, package detection, 2K resolution; battery: long‑lasting</t>
  </si>
  <si>
    <t>Keep a watchful eye on your home with the Eufy Video Doorbell Dual. Equipped with dual cameras, you'll get a complete view of your doorstep, while advanced package detection alerts you to deliveries.  Enjoy crystal-clear 2K resolution for every detail, day or night.  Its long-lasting battery ensures dependable performance, and the durable plastic housing stands up to the elements. Backed by a 1-year limited warranty, the Eufy Video Doorbell Dual offers peace of mind and ultimate security.</t>
  </si>
  <si>
    <t>Blink Outdoor 4</t>
  </si>
  <si>
    <t>features: 1080p HD, 2‑year battery, weather‑resistant; limited edition</t>
  </si>
  <si>
    <t>The Blink Outdoor 4, a limited edition for discerning security enthusiasts. Experience crystal-clear 1080p HD video and rest easy knowing it's weather-resistant, ready to stand guard no matter the conditions.  With a long-lasting 2-year battery life, you can enjoy reliable protection without the hassle of frequent charging.  Backed by a 1-year limited warranty.</t>
  </si>
  <si>
    <t>Corsair K100 RGB Keyboard</t>
  </si>
  <si>
    <t>features: Cherry MX Speed, 4000 Hz polling, aluminum frame; capacity: large</t>
  </si>
  <si>
    <t>brushed aluminum</t>
  </si>
  <si>
    <t>2‑year warranty</t>
  </si>
  <si>
    <t>Unleash your competitive edge with the Corsair K100 RGB Keyboard. Its Cherry MX Speed switches deliver lightning-fast actuation, giving you the upper hand in every game.  With 4000Hz polling, your commands are registered instantly, ensuring unparalleled responsiveness.  The sturdy aluminum frame provides a premium feel and lasting durability, while the large layout accommodates all your needs. Backed by a 2-year warranty, the K100 RGB is built to perform at the highest level.</t>
  </si>
  <si>
    <t>Logitech MX Master 3S</t>
  </si>
  <si>
    <t>features: 8K DPI sensor, MagSpeed scroll, Bolt &amp; Bluetooth; color options: multiple</t>
  </si>
  <si>
    <t>Experience unparalleled precision and control with the Logitech MX Master 3S. Its 8K DPI sensor tracks every movement with flawless accuracy, while the MagSpeed scroll wheel delivers smooth, rapid scrolling. Connect seamlessly with your devices via Bolt or Bluetooth, offering the flexibility you need.  Available in multiple colors to match your style, the MX Master 3S is built for productivity and backed by a 1-year limited warranty.</t>
  </si>
  <si>
    <t>Razer DeathAdder V3 Pro</t>
  </si>
  <si>
    <t>features: 63 g ultralight, 30K DPI Focus Pro sensor; battery: long‑lasting</t>
  </si>
  <si>
    <t>Unleash your full potential with the Razer DeathAdder V3 Pro. This ultralight gaming mouse, weighing a mere 63g, offers unmatched agility and precision.  The 30K DPI Focus Pro sensor tracks every movement with pinpoint accuracy, giving you the edge in intense competition.  Experience long-lasting performance without the burden of wires, and dominate the game with confidence. Backed by a 2-year warranty, the DeathAdder V3 Pro is built to withstand the most demanding gaming sessions.</t>
  </si>
  <si>
    <t>Samsung 980 Pro 2 TB NVMe SSD</t>
  </si>
  <si>
    <t>features: PCIe 4.0, up to 7 000 MB/s read, nickel coating; battery: long‑lasting</t>
  </si>
  <si>
    <t>PCB &amp; NAND flash</t>
  </si>
  <si>
    <t>5‑year limited warranty</t>
  </si>
  <si>
    <t>Experience blazing-fast performance with the Samsung 980 Pro 2TB NVMe SSD. Built with PCIe 4.0 technology, it delivers incredible speeds of up to 7,000 MB/s read, making your system lightning quick. Its nickel coating enhances heat dissipation, ensuring optimal performance even under heavy loads. Crafted with durable PCB and NAND flash, this SSD is built to last, backed by a 5-year limited warranty.</t>
  </si>
  <si>
    <t>Seagate Portable 5 TB HDD</t>
  </si>
  <si>
    <t>features: USB 3.0, plug‑and‑play, 2.5″ form factor; rating: 4.7/5</t>
  </si>
  <si>
    <t>The Seagate Portable 5TB HDD is your ultimate solution for on-the-go storage.  With a massive 5TB capacity, you can store your entire digital library—movies, photos, music, and more—with ease.  The compact 2.5″ form factor and durable plastic shell make it perfect for travel, while USB 3.0 ensures fast data transfer speeds. Simply plug and play, and you're ready to go. Backed by a 4.7/5 star rating and a 1-year limited warranty, the Seagate Portable HDD offers reliable performance and peace of mind.</t>
  </si>
  <si>
    <t>SanDisk Extreme PRO 128 GB SDXC</t>
  </si>
  <si>
    <t>features: UHS‑I U3, 200 MB/s read, waterproof; battery: long‑lasting</t>
  </si>
  <si>
    <t>lifetime limited warranty</t>
  </si>
  <si>
    <t>Capture every epic moment with the SanDisk Extreme PRO 128GB SDXC card.  This card's UHS-I U3 and 200MB/s read speed ensure smooth performance for your 4K videos and high-resolution photos.  Built tough with waterproof protection, it's ready for any adventure.  Enjoy long-lasting performance and peace of mind with SanDisk's lifetime limited warranty.</t>
  </si>
  <si>
    <t>Kingston Fury Beast 32 GB DDR5</t>
  </si>
  <si>
    <t>features: 6000 MT/s, Intel XMP 3.0, low‑profile heat spreader; energy efficient</t>
  </si>
  <si>
    <t>aluminum heatspreader</t>
  </si>
  <si>
    <t>Unleash the beast within your PC with the Kingston Fury Beast 32GB DDR5 memory.  Experience lightning-fast speeds of 6000MT/s, powered by Intel XMP 3.0 for seamless overclocking.  The low-profile aluminum heat spreader ensures optimal cooling, keeping your system running smoothly and efficiently. With a lifetime warranty, the Kingston Fury Beast is built to deliver exceptional performance and reliability for years to come.</t>
  </si>
  <si>
    <t>Acer Predator XB273U 27″ Monitor</t>
  </si>
  <si>
    <t>features: 2560×1440 170 Hz IPS, HDR400, G‑Sync Compatible; capacity: large</t>
  </si>
  <si>
    <t>plastic &amp; metal stand</t>
  </si>
  <si>
    <t>3‑year warranty</t>
  </si>
  <si>
    <t>Dominate your gameplay with the Acer Predator XB273U 27″ Monitor. Experience stunning visuals with a 2560x1440 170Hz IPS display, delivering smooth, tear-free action thanks to G-Sync compatibility.  HDR400 enhances contrast and color, bringing your games to life with incredible detail. Built with a robust plastic and metal stand, this large capacity monitor is ready for even the most intense gaming sessions. Backed by a 3-year warranty, the Predator XB273U is your ultimate weapon for victory.</t>
  </si>
  <si>
    <t>BenQ PD2725U 27″ Monitor</t>
  </si>
  <si>
    <t>features: 4K UHD IPS, 98% P3, Thunderbolt 3; color options: multiple</t>
  </si>
  <si>
    <t>metal stand</t>
  </si>
  <si>
    <t>The BenQ PD2725U 27″ Monitor is a visual powerhouse designed for professionals who demand the best.  Experience breathtaking clarity and detail with 4K UHD IPS resolution, and enjoy vibrant, accurate colors thanks to 98% P3 coverage. The Thunderbolt 3 port allows for fast data transfers and seamless connectivity.  Crafted with a sturdy metal stand, this monitor is built to last and is backed by a comprehensive 3-year warranty.  Choose from multiple color options to perfectly match your setup.</t>
  </si>
  <si>
    <t>ASUS ProArt PA278QV Monitor</t>
  </si>
  <si>
    <t>features: 27″ 2560×1440 IPS, 100% sRGB, Calman Verified; weight: light</t>
  </si>
  <si>
    <t>The ASUS ProArt PA278QV monitor is a dream for creatives.  Its spacious 27" 2560x1440 IPS display delivers stunning clarity and vibrant colors, covering 100% of the sRGB color gamut. Calman Verified, you can be confident in the accuracy of your work.  The lightweight design and sturdy metal stand make it perfect for any workspace. Backed by a 3-year warranty, the ProArt PA278QV is an investment in your creative vision.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</si>
</sst>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 customWidth="1" min="19" max="19" width="22.14"/>
    <col customWidth="1" min="20" max="2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4" t="s">
        <v>18</v>
      </c>
    </row>
    <row r="2">
      <c r="A2" s="1" t="s">
        <v>19</v>
      </c>
      <c r="B2" s="1" t="s">
        <v>20</v>
      </c>
      <c r="C2" s="1" t="s">
        <v>21</v>
      </c>
      <c r="D2" s="1" t="s">
        <v>22</v>
      </c>
      <c r="E2" s="1" t="s">
        <v>23</v>
      </c>
      <c r="F2" s="1">
        <v>1357.6</v>
      </c>
      <c r="G2" s="1">
        <v>822.0</v>
      </c>
      <c r="H2" s="1">
        <v>109.0</v>
      </c>
      <c r="I2" s="5" t="s">
        <v>24</v>
      </c>
      <c r="J2" s="5" t="s">
        <v>24</v>
      </c>
      <c r="K2" s="5" t="s">
        <v>24</v>
      </c>
      <c r="L2" s="5" t="s">
        <v>24</v>
      </c>
      <c r="M2" s="5" t="s">
        <v>24</v>
      </c>
      <c r="N2" s="5" t="s">
        <v>24</v>
      </c>
      <c r="O2" s="6" t="s">
        <v>25</v>
      </c>
      <c r="P2" s="5" t="s">
        <v>26</v>
      </c>
      <c r="Q2" s="7">
        <v>20.0</v>
      </c>
      <c r="R2" s="1">
        <f>IFERROR(__xludf.DUMMYFUNCTION("IF(E2="""", 0, COUNTA(SPLIT(TRIM(E2), "" "")))"),73.0)</f>
        <v>73</v>
      </c>
      <c r="S2" s="8">
        <f t="shared" ref="S2:S51" si="1">(G2/1000000)*0.03 + (H2/1000000)*0.09</f>
        <v>0.00003447</v>
      </c>
    </row>
    <row r="3">
      <c r="A3" s="1" t="s">
        <v>27</v>
      </c>
      <c r="B3" s="1" t="s">
        <v>28</v>
      </c>
      <c r="C3" s="1" t="s">
        <v>29</v>
      </c>
      <c r="D3" s="1" t="s">
        <v>22</v>
      </c>
      <c r="E3" s="1" t="s">
        <v>30</v>
      </c>
      <c r="F3" s="1">
        <v>1146.4</v>
      </c>
      <c r="G3" s="1">
        <v>822.0</v>
      </c>
      <c r="H3" s="1">
        <v>118.0</v>
      </c>
      <c r="I3" s="5" t="s">
        <v>24</v>
      </c>
      <c r="J3" s="5" t="s">
        <v>24</v>
      </c>
      <c r="K3" s="5" t="s">
        <v>24</v>
      </c>
      <c r="L3" s="5" t="s">
        <v>24</v>
      </c>
      <c r="M3" s="6" t="s">
        <v>25</v>
      </c>
      <c r="N3" s="5" t="s">
        <v>24</v>
      </c>
      <c r="O3" s="6" t="s">
        <v>25</v>
      </c>
      <c r="P3" s="5" t="s">
        <v>26</v>
      </c>
      <c r="Q3" s="7">
        <v>19.0</v>
      </c>
      <c r="R3" s="1">
        <f>IFERROR(__xludf.DUMMYFUNCTION("IF(E3="""", 0, COUNTA(SPLIT(TRIM(E3), "" "")))"),79.0)</f>
        <v>79</v>
      </c>
      <c r="S3" s="8">
        <f t="shared" si="1"/>
        <v>0.00003528</v>
      </c>
    </row>
    <row r="4">
      <c r="A4" s="1" t="s">
        <v>31</v>
      </c>
      <c r="B4" s="1" t="s">
        <v>32</v>
      </c>
      <c r="C4" s="1" t="s">
        <v>33</v>
      </c>
      <c r="D4" s="1" t="s">
        <v>22</v>
      </c>
      <c r="E4" s="1" t="s">
        <v>34</v>
      </c>
      <c r="F4" s="1">
        <v>989.4</v>
      </c>
      <c r="G4" s="1">
        <v>819.0</v>
      </c>
      <c r="H4" s="1">
        <v>108.0</v>
      </c>
      <c r="I4" s="5" t="s">
        <v>24</v>
      </c>
      <c r="J4" s="5" t="s">
        <v>24</v>
      </c>
      <c r="K4" s="5" t="s">
        <v>24</v>
      </c>
      <c r="L4" s="5" t="s">
        <v>24</v>
      </c>
      <c r="M4" s="5" t="s">
        <v>24</v>
      </c>
      <c r="N4" s="5" t="s">
        <v>24</v>
      </c>
      <c r="O4" s="6" t="s">
        <v>25</v>
      </c>
      <c r="P4" s="5" t="s">
        <v>26</v>
      </c>
      <c r="Q4" s="7">
        <v>20.0</v>
      </c>
      <c r="R4" s="1">
        <f>IFERROR(__xludf.DUMMYFUNCTION("IF(E4="""", 0, COUNTA(SPLIT(TRIM(E4), "" "")))"),77.0)</f>
        <v>77</v>
      </c>
      <c r="S4" s="8">
        <f t="shared" si="1"/>
        <v>0.00003429</v>
      </c>
    </row>
    <row r="5">
      <c r="A5" s="1" t="s">
        <v>35</v>
      </c>
      <c r="B5" s="1" t="s">
        <v>36</v>
      </c>
      <c r="C5" s="1" t="s">
        <v>37</v>
      </c>
      <c r="D5" s="1" t="s">
        <v>22</v>
      </c>
      <c r="E5" s="1" t="s">
        <v>38</v>
      </c>
      <c r="F5" s="1">
        <v>1000.4</v>
      </c>
      <c r="G5" s="1">
        <v>819.0</v>
      </c>
      <c r="H5" s="1">
        <v>114.0</v>
      </c>
      <c r="I5" s="5" t="s">
        <v>24</v>
      </c>
      <c r="J5" s="6" t="s">
        <v>25</v>
      </c>
      <c r="K5" s="5" t="s">
        <v>24</v>
      </c>
      <c r="L5" s="5" t="s">
        <v>24</v>
      </c>
      <c r="M5" s="6" t="s">
        <v>25</v>
      </c>
      <c r="N5" s="5" t="s">
        <v>24</v>
      </c>
      <c r="O5" s="6" t="s">
        <v>25</v>
      </c>
      <c r="P5" s="6" t="s">
        <v>39</v>
      </c>
      <c r="Q5" s="7">
        <v>18.0</v>
      </c>
      <c r="R5" s="1">
        <f>IFERROR(__xludf.DUMMYFUNCTION("IF(E5="""", 0, COUNTA(SPLIT(TRIM(E5), "" "")))"),77.0)</f>
        <v>77</v>
      </c>
      <c r="S5" s="8">
        <f t="shared" si="1"/>
        <v>0.00003483</v>
      </c>
    </row>
    <row r="6">
      <c r="A6" s="1" t="s">
        <v>40</v>
      </c>
      <c r="B6" s="1" t="s">
        <v>41</v>
      </c>
      <c r="C6" s="1" t="s">
        <v>42</v>
      </c>
      <c r="D6" s="1" t="s">
        <v>22</v>
      </c>
      <c r="E6" s="1" t="s">
        <v>43</v>
      </c>
      <c r="F6" s="1">
        <v>1021.6</v>
      </c>
      <c r="G6" s="1">
        <v>808.0</v>
      </c>
      <c r="H6" s="1">
        <v>117.0</v>
      </c>
      <c r="I6" s="5" t="s">
        <v>24</v>
      </c>
      <c r="J6" s="6" t="s">
        <v>25</v>
      </c>
      <c r="K6" s="5" t="s">
        <v>24</v>
      </c>
      <c r="L6" s="5" t="s">
        <v>24</v>
      </c>
      <c r="M6" s="6" t="s">
        <v>25</v>
      </c>
      <c r="N6" s="5" t="s">
        <v>24</v>
      </c>
      <c r="O6" s="6" t="s">
        <v>25</v>
      </c>
      <c r="P6" s="5" t="s">
        <v>26</v>
      </c>
      <c r="Q6" s="7">
        <v>20.0</v>
      </c>
      <c r="R6" s="1">
        <f>IFERROR(__xludf.DUMMYFUNCTION("IF(E6="""", 0, COUNTA(SPLIT(TRIM(E6), "" "")))"),81.0)</f>
        <v>81</v>
      </c>
      <c r="S6" s="8">
        <f t="shared" si="1"/>
        <v>0.00003477</v>
      </c>
    </row>
    <row r="7">
      <c r="A7" s="1" t="s">
        <v>44</v>
      </c>
      <c r="B7" s="1" t="s">
        <v>45</v>
      </c>
      <c r="C7" s="1" t="s">
        <v>46</v>
      </c>
      <c r="D7" s="1" t="s">
        <v>22</v>
      </c>
      <c r="E7" s="1" t="s">
        <v>47</v>
      </c>
      <c r="F7" s="1">
        <v>1023.8</v>
      </c>
      <c r="G7" s="1">
        <v>808.0</v>
      </c>
      <c r="H7" s="1">
        <v>114.0</v>
      </c>
      <c r="I7" s="5" t="s">
        <v>24</v>
      </c>
      <c r="J7" s="6" t="s">
        <v>25</v>
      </c>
      <c r="K7" s="5" t="s">
        <v>24</v>
      </c>
      <c r="L7" s="5" t="s">
        <v>24</v>
      </c>
      <c r="M7" s="6" t="s">
        <v>25</v>
      </c>
      <c r="N7" s="5" t="s">
        <v>24</v>
      </c>
      <c r="O7" s="6" t="s">
        <v>25</v>
      </c>
      <c r="P7" s="5" t="s">
        <v>26</v>
      </c>
      <c r="Q7" s="7">
        <v>18.0</v>
      </c>
      <c r="R7" s="1">
        <f>IFERROR(__xludf.DUMMYFUNCTION("IF(E7="""", 0, COUNTA(SPLIT(TRIM(E7), "" "")))"),83.0)</f>
        <v>83</v>
      </c>
      <c r="S7" s="8">
        <f t="shared" si="1"/>
        <v>0.0000345</v>
      </c>
    </row>
    <row r="8">
      <c r="A8" s="1" t="s">
        <v>48</v>
      </c>
      <c r="B8" s="1" t="s">
        <v>49</v>
      </c>
      <c r="C8" s="1" t="s">
        <v>50</v>
      </c>
      <c r="D8" s="1" t="s">
        <v>51</v>
      </c>
      <c r="E8" s="1" t="s">
        <v>52</v>
      </c>
      <c r="F8" s="1">
        <v>1125.8</v>
      </c>
      <c r="G8" s="1">
        <v>828.0</v>
      </c>
      <c r="H8" s="1">
        <v>129.0</v>
      </c>
      <c r="I8" s="5" t="s">
        <v>24</v>
      </c>
      <c r="J8" s="6" t="s">
        <v>24</v>
      </c>
      <c r="K8" s="5" t="s">
        <v>24</v>
      </c>
      <c r="L8" s="5" t="s">
        <v>24</v>
      </c>
      <c r="M8" s="6" t="s">
        <v>25</v>
      </c>
      <c r="N8" s="5" t="s">
        <v>24</v>
      </c>
      <c r="O8" s="6" t="s">
        <v>25</v>
      </c>
      <c r="P8" s="5" t="s">
        <v>26</v>
      </c>
      <c r="Q8" s="7">
        <v>19.0</v>
      </c>
      <c r="R8" s="1">
        <f>IFERROR(__xludf.DUMMYFUNCTION("IF(E8="""", 0, COUNTA(SPLIT(TRIM(E8), "" "")))"),81.0)</f>
        <v>81</v>
      </c>
      <c r="S8" s="8">
        <f t="shared" si="1"/>
        <v>0.00003645</v>
      </c>
    </row>
    <row r="9">
      <c r="A9" s="1" t="s">
        <v>53</v>
      </c>
      <c r="B9" s="1" t="s">
        <v>54</v>
      </c>
      <c r="C9" s="1" t="s">
        <v>55</v>
      </c>
      <c r="D9" s="1" t="s">
        <v>22</v>
      </c>
      <c r="E9" s="1" t="s">
        <v>56</v>
      </c>
      <c r="F9" s="1">
        <v>1033.5</v>
      </c>
      <c r="G9" s="1">
        <v>822.0</v>
      </c>
      <c r="H9" s="1">
        <v>119.0</v>
      </c>
      <c r="I9" s="5" t="s">
        <v>24</v>
      </c>
      <c r="J9" s="5" t="s">
        <v>24</v>
      </c>
      <c r="K9" s="5" t="s">
        <v>24</v>
      </c>
      <c r="L9" s="5" t="s">
        <v>24</v>
      </c>
      <c r="M9" s="6" t="s">
        <v>25</v>
      </c>
      <c r="N9" s="5" t="s">
        <v>24</v>
      </c>
      <c r="O9" s="6" t="s">
        <v>25</v>
      </c>
      <c r="P9" s="5" t="s">
        <v>26</v>
      </c>
      <c r="Q9" s="7">
        <v>19.0</v>
      </c>
      <c r="R9" s="1">
        <f>IFERROR(__xludf.DUMMYFUNCTION("IF(E9="""", 0, COUNTA(SPLIT(TRIM(E9), "" "")))"),77.0)</f>
        <v>77</v>
      </c>
      <c r="S9" s="8">
        <f t="shared" si="1"/>
        <v>0.00003537</v>
      </c>
    </row>
    <row r="10">
      <c r="A10" s="1" t="s">
        <v>57</v>
      </c>
      <c r="B10" s="1" t="s">
        <v>58</v>
      </c>
      <c r="C10" s="1" t="s">
        <v>59</v>
      </c>
      <c r="D10" s="1" t="s">
        <v>22</v>
      </c>
      <c r="E10" s="1" t="s">
        <v>60</v>
      </c>
      <c r="F10" s="1">
        <v>918.7</v>
      </c>
      <c r="G10" s="1">
        <v>811.0</v>
      </c>
      <c r="H10" s="1">
        <v>108.0</v>
      </c>
      <c r="I10" s="5" t="s">
        <v>24</v>
      </c>
      <c r="J10" s="5" t="s">
        <v>24</v>
      </c>
      <c r="K10" s="5" t="s">
        <v>24</v>
      </c>
      <c r="L10" s="5" t="s">
        <v>24</v>
      </c>
      <c r="M10" s="5" t="s">
        <v>24</v>
      </c>
      <c r="N10" s="5" t="s">
        <v>24</v>
      </c>
      <c r="O10" s="6" t="s">
        <v>25</v>
      </c>
      <c r="P10" s="5" t="s">
        <v>26</v>
      </c>
      <c r="Q10" s="7">
        <v>20.0</v>
      </c>
      <c r="R10" s="1">
        <f>IFERROR(__xludf.DUMMYFUNCTION("IF(E10="""", 0, COUNTA(SPLIT(TRIM(E10), "" "")))"),78.0)</f>
        <v>78</v>
      </c>
      <c r="S10" s="8">
        <f t="shared" si="1"/>
        <v>0.00003405</v>
      </c>
    </row>
    <row r="11">
      <c r="A11" s="1" t="s">
        <v>61</v>
      </c>
      <c r="B11" s="1" t="s">
        <v>62</v>
      </c>
      <c r="C11" s="1" t="s">
        <v>63</v>
      </c>
      <c r="D11" s="1" t="s">
        <v>22</v>
      </c>
      <c r="E11" s="1" t="s">
        <v>64</v>
      </c>
      <c r="F11" s="1">
        <v>1007.0</v>
      </c>
      <c r="G11" s="1">
        <v>820.0</v>
      </c>
      <c r="H11" s="1">
        <v>119.0</v>
      </c>
      <c r="I11" s="5" t="s">
        <v>24</v>
      </c>
      <c r="J11" s="5" t="s">
        <v>24</v>
      </c>
      <c r="K11" s="5" t="s">
        <v>24</v>
      </c>
      <c r="L11" s="5" t="s">
        <v>24</v>
      </c>
      <c r="M11" s="6" t="s">
        <v>25</v>
      </c>
      <c r="N11" s="5" t="s">
        <v>24</v>
      </c>
      <c r="O11" s="6" t="s">
        <v>25</v>
      </c>
      <c r="P11" s="5" t="s">
        <v>26</v>
      </c>
      <c r="Q11" s="7">
        <v>19.0</v>
      </c>
      <c r="R11" s="1">
        <f>IFERROR(__xludf.DUMMYFUNCTION("IF(E11="""", 0, COUNTA(SPLIT(TRIM(E11), "" "")))"),79.0)</f>
        <v>79</v>
      </c>
      <c r="S11" s="8">
        <f t="shared" si="1"/>
        <v>0.00003531</v>
      </c>
    </row>
    <row r="12">
      <c r="A12" s="1" t="s">
        <v>65</v>
      </c>
      <c r="B12" s="1" t="s">
        <v>66</v>
      </c>
      <c r="C12" s="1" t="s">
        <v>67</v>
      </c>
      <c r="D12" s="1" t="s">
        <v>22</v>
      </c>
      <c r="E12" s="1" t="s">
        <v>68</v>
      </c>
      <c r="F12" s="1">
        <v>745.8</v>
      </c>
      <c r="G12" s="1">
        <v>811.0</v>
      </c>
      <c r="H12" s="1">
        <v>78.0</v>
      </c>
      <c r="R12" s="1">
        <f>IFERROR(__xludf.DUMMYFUNCTION("IF(E12="""", 0, COUNTA(SPLIT(TRIM(E12), "" "")))"),51.0)</f>
        <v>51</v>
      </c>
      <c r="S12" s="8">
        <f t="shared" si="1"/>
        <v>0.00003135</v>
      </c>
    </row>
    <row r="13">
      <c r="A13" s="1" t="s">
        <v>69</v>
      </c>
      <c r="B13" s="1" t="s">
        <v>70</v>
      </c>
      <c r="C13" s="1" t="s">
        <v>71</v>
      </c>
      <c r="D13" s="1" t="s">
        <v>22</v>
      </c>
      <c r="E13" s="1" t="s">
        <v>72</v>
      </c>
      <c r="F13" s="1">
        <v>1004.5</v>
      </c>
      <c r="G13" s="1">
        <v>818.0</v>
      </c>
      <c r="H13" s="1">
        <v>116.0</v>
      </c>
      <c r="R13" s="1">
        <f>IFERROR(__xludf.DUMMYFUNCTION("IF(E13="""", 0, COUNTA(SPLIT(TRIM(E13), "" "")))"),70.0)</f>
        <v>70</v>
      </c>
      <c r="S13" s="8">
        <f t="shared" si="1"/>
        <v>0.00003498</v>
      </c>
    </row>
    <row r="14">
      <c r="A14" s="1" t="s">
        <v>73</v>
      </c>
      <c r="B14" s="1" t="s">
        <v>74</v>
      </c>
      <c r="C14" s="1" t="s">
        <v>75</v>
      </c>
      <c r="D14" s="1" t="s">
        <v>22</v>
      </c>
      <c r="E14" s="1" t="s">
        <v>76</v>
      </c>
      <c r="F14" s="1">
        <v>1222.5</v>
      </c>
      <c r="G14" s="1">
        <v>822.0</v>
      </c>
      <c r="H14" s="1">
        <v>138.0</v>
      </c>
      <c r="R14" s="1">
        <f>IFERROR(__xludf.DUMMYFUNCTION("IF(E14="""", 0, COUNTA(SPLIT(TRIM(E14), "" "")))"),91.0)</f>
        <v>91</v>
      </c>
      <c r="S14" s="8">
        <f t="shared" si="1"/>
        <v>0.00003708</v>
      </c>
    </row>
    <row r="15">
      <c r="A15" s="1" t="s">
        <v>77</v>
      </c>
      <c r="B15" s="1" t="s">
        <v>78</v>
      </c>
      <c r="C15" s="1" t="s">
        <v>79</v>
      </c>
      <c r="D15" s="1" t="s">
        <v>22</v>
      </c>
      <c r="E15" s="1" t="s">
        <v>80</v>
      </c>
      <c r="F15" s="1">
        <v>755.4</v>
      </c>
      <c r="G15" s="1">
        <v>811.0</v>
      </c>
      <c r="H15" s="1">
        <v>85.0</v>
      </c>
      <c r="R15" s="1">
        <f>IFERROR(__xludf.DUMMYFUNCTION("IF(E15="""", 0, COUNTA(SPLIT(TRIM(E15), "" "")))"),63.0)</f>
        <v>63</v>
      </c>
      <c r="S15" s="8">
        <f t="shared" si="1"/>
        <v>0.00003198</v>
      </c>
    </row>
    <row r="16">
      <c r="A16" s="1" t="s">
        <v>81</v>
      </c>
      <c r="B16" s="1" t="s">
        <v>82</v>
      </c>
      <c r="C16" s="1" t="s">
        <v>83</v>
      </c>
      <c r="D16" s="1" t="s">
        <v>22</v>
      </c>
      <c r="E16" s="1" t="s">
        <v>84</v>
      </c>
      <c r="F16" s="1">
        <v>1029.3</v>
      </c>
      <c r="G16" s="1">
        <v>810.0</v>
      </c>
      <c r="H16" s="1">
        <v>113.0</v>
      </c>
      <c r="R16" s="1">
        <f>IFERROR(__xludf.DUMMYFUNCTION("IF(E16="""", 0, COUNTA(SPLIT(TRIM(E16), "" "")))"),79.0)</f>
        <v>79</v>
      </c>
      <c r="S16" s="8">
        <f t="shared" si="1"/>
        <v>0.00003447</v>
      </c>
    </row>
    <row r="17">
      <c r="A17" s="1" t="s">
        <v>85</v>
      </c>
      <c r="B17" s="1" t="s">
        <v>86</v>
      </c>
      <c r="C17" s="1" t="s">
        <v>87</v>
      </c>
      <c r="D17" s="1" t="s">
        <v>22</v>
      </c>
      <c r="E17" s="1" t="s">
        <v>88</v>
      </c>
      <c r="F17" s="1">
        <v>1193.6</v>
      </c>
      <c r="G17" s="1">
        <v>822.0</v>
      </c>
      <c r="H17" s="1">
        <v>119.0</v>
      </c>
      <c r="R17" s="1">
        <f>IFERROR(__xludf.DUMMYFUNCTION("IF(E17="""", 0, COUNTA(SPLIT(TRIM(E17), "" "")))"),82.0)</f>
        <v>82</v>
      </c>
      <c r="S17" s="8">
        <f t="shared" si="1"/>
        <v>0.00003537</v>
      </c>
    </row>
    <row r="18">
      <c r="A18" s="1" t="s">
        <v>89</v>
      </c>
      <c r="B18" s="1" t="s">
        <v>90</v>
      </c>
      <c r="C18" s="1" t="s">
        <v>91</v>
      </c>
      <c r="D18" s="1" t="s">
        <v>22</v>
      </c>
      <c r="E18" s="1" t="s">
        <v>92</v>
      </c>
      <c r="F18" s="1">
        <v>1211.6</v>
      </c>
      <c r="G18" s="1">
        <v>827.0</v>
      </c>
      <c r="H18" s="1">
        <v>133.0</v>
      </c>
      <c r="R18" s="1">
        <f>IFERROR(__xludf.DUMMYFUNCTION("IF(E18="""", 0, COUNTA(SPLIT(TRIM(E18), "" "")))"),83.0)</f>
        <v>83</v>
      </c>
      <c r="S18" s="8">
        <f t="shared" si="1"/>
        <v>0.00003678</v>
      </c>
    </row>
    <row r="19">
      <c r="A19" s="1" t="s">
        <v>93</v>
      </c>
      <c r="B19" s="1" t="s">
        <v>94</v>
      </c>
      <c r="C19" s="1" t="s">
        <v>95</v>
      </c>
      <c r="D19" s="1" t="s">
        <v>22</v>
      </c>
      <c r="E19" s="1" t="s">
        <v>96</v>
      </c>
      <c r="F19" s="1">
        <v>1240.1</v>
      </c>
      <c r="G19" s="1">
        <v>813.0</v>
      </c>
      <c r="H19" s="1">
        <v>103.0</v>
      </c>
      <c r="R19" s="1">
        <f>IFERROR(__xludf.DUMMYFUNCTION("IF(E19="""", 0, COUNTA(SPLIT(TRIM(E19), "" "")))"),73.0)</f>
        <v>73</v>
      </c>
      <c r="S19" s="8">
        <f t="shared" si="1"/>
        <v>0.00003366</v>
      </c>
    </row>
    <row r="20">
      <c r="A20" s="1" t="s">
        <v>97</v>
      </c>
      <c r="B20" s="1" t="s">
        <v>98</v>
      </c>
      <c r="C20" s="1" t="s">
        <v>99</v>
      </c>
      <c r="D20" s="1" t="s">
        <v>100</v>
      </c>
      <c r="E20" s="1" t="s">
        <v>101</v>
      </c>
      <c r="F20" s="1">
        <v>1043.9</v>
      </c>
      <c r="G20" s="1">
        <v>814.0</v>
      </c>
      <c r="H20" s="1">
        <v>116.0</v>
      </c>
      <c r="R20" s="1">
        <f>IFERROR(__xludf.DUMMYFUNCTION("IF(E20="""", 0, COUNTA(SPLIT(TRIM(E20), "" "")))"),75.0)</f>
        <v>75</v>
      </c>
      <c r="S20" s="8">
        <f t="shared" si="1"/>
        <v>0.00003486</v>
      </c>
    </row>
    <row r="21" ht="15.75" customHeight="1">
      <c r="A21" s="1" t="s">
        <v>102</v>
      </c>
      <c r="B21" s="1" t="s">
        <v>103</v>
      </c>
      <c r="C21" s="1" t="s">
        <v>104</v>
      </c>
      <c r="D21" s="1" t="s">
        <v>105</v>
      </c>
      <c r="E21" s="1" t="s">
        <v>106</v>
      </c>
      <c r="F21" s="1">
        <v>1106.9</v>
      </c>
      <c r="G21" s="1">
        <v>813.0</v>
      </c>
      <c r="H21" s="1">
        <v>107.0</v>
      </c>
      <c r="R21" s="1">
        <f>IFERROR(__xludf.DUMMYFUNCTION("IF(E21="""", 0, COUNTA(SPLIT(TRIM(E21), "" "")))"),76.0)</f>
        <v>76</v>
      </c>
      <c r="S21" s="8">
        <f t="shared" si="1"/>
        <v>0.00003402</v>
      </c>
    </row>
    <row r="22" ht="15.75" customHeight="1">
      <c r="A22" s="1" t="s">
        <v>107</v>
      </c>
      <c r="B22" s="1" t="s">
        <v>108</v>
      </c>
      <c r="C22" s="1" t="s">
        <v>109</v>
      </c>
      <c r="D22" s="1" t="s">
        <v>22</v>
      </c>
      <c r="E22" s="1" t="s">
        <v>110</v>
      </c>
      <c r="F22" s="1">
        <v>977.3</v>
      </c>
      <c r="G22" s="1">
        <v>811.0</v>
      </c>
      <c r="H22" s="1">
        <v>99.0</v>
      </c>
      <c r="R22" s="1">
        <f>IFERROR(__xludf.DUMMYFUNCTION("IF(E22="""", 0, COUNTA(SPLIT(TRIM(E22), "" "")))"),71.0)</f>
        <v>71</v>
      </c>
      <c r="S22" s="8">
        <f t="shared" si="1"/>
        <v>0.00003324</v>
      </c>
    </row>
    <row r="23" ht="15.75" customHeight="1">
      <c r="A23" s="1" t="s">
        <v>111</v>
      </c>
      <c r="B23" s="1" t="s">
        <v>112</v>
      </c>
      <c r="C23" s="1" t="s">
        <v>113</v>
      </c>
      <c r="D23" s="1" t="s">
        <v>114</v>
      </c>
      <c r="E23" s="1" t="s">
        <v>115</v>
      </c>
      <c r="F23" s="1">
        <v>914.8</v>
      </c>
      <c r="G23" s="1">
        <v>812.0</v>
      </c>
      <c r="H23" s="1">
        <v>96.0</v>
      </c>
      <c r="R23" s="1">
        <f>IFERROR(__xludf.DUMMYFUNCTION("IF(E23="""", 0, COUNTA(SPLIT(TRIM(E23), "" "")))"),66.0)</f>
        <v>66</v>
      </c>
      <c r="S23" s="8">
        <f t="shared" si="1"/>
        <v>0.000033</v>
      </c>
    </row>
    <row r="24" ht="15.75" customHeight="1">
      <c r="A24" s="1" t="s">
        <v>116</v>
      </c>
      <c r="B24" s="1" t="s">
        <v>117</v>
      </c>
      <c r="C24" s="1" t="s">
        <v>118</v>
      </c>
      <c r="D24" s="1" t="s">
        <v>119</v>
      </c>
      <c r="E24" s="1" t="s">
        <v>120</v>
      </c>
      <c r="F24" s="1">
        <v>906.7</v>
      </c>
      <c r="G24" s="1">
        <v>815.0</v>
      </c>
      <c r="H24" s="1">
        <v>98.0</v>
      </c>
      <c r="R24" s="1">
        <f>IFERROR(__xludf.DUMMYFUNCTION("IF(E24="""", 0, COUNTA(SPLIT(TRIM(E24), "" "")))"),69.0)</f>
        <v>69</v>
      </c>
      <c r="S24" s="8">
        <f t="shared" si="1"/>
        <v>0.00003327</v>
      </c>
    </row>
    <row r="25" ht="15.75" customHeight="1">
      <c r="A25" s="1" t="s">
        <v>121</v>
      </c>
      <c r="B25" s="1" t="s">
        <v>122</v>
      </c>
      <c r="C25" s="1" t="s">
        <v>123</v>
      </c>
      <c r="D25" s="1" t="s">
        <v>119</v>
      </c>
      <c r="E25" s="1" t="s">
        <v>124</v>
      </c>
      <c r="F25" s="1">
        <v>883.0</v>
      </c>
      <c r="G25" s="1">
        <v>807.0</v>
      </c>
      <c r="H25" s="1">
        <v>98.0</v>
      </c>
      <c r="R25" s="1">
        <f>IFERROR(__xludf.DUMMYFUNCTION("IF(E25="""", 0, COUNTA(SPLIT(TRIM(E25), "" "")))"),70.0)</f>
        <v>70</v>
      </c>
      <c r="S25" s="8">
        <f t="shared" si="1"/>
        <v>0.00003303</v>
      </c>
    </row>
    <row r="26" ht="15.75" customHeight="1">
      <c r="A26" s="1" t="s">
        <v>125</v>
      </c>
      <c r="B26" s="1" t="s">
        <v>126</v>
      </c>
      <c r="C26" s="1" t="s">
        <v>127</v>
      </c>
      <c r="D26" s="1" t="s">
        <v>119</v>
      </c>
      <c r="E26" s="1" t="s">
        <v>128</v>
      </c>
      <c r="F26" s="1">
        <v>867.0</v>
      </c>
      <c r="G26" s="1">
        <v>809.0</v>
      </c>
      <c r="H26" s="1">
        <v>85.0</v>
      </c>
      <c r="R26" s="1">
        <f>IFERROR(__xludf.DUMMYFUNCTION("IF(E26="""", 0, COUNTA(SPLIT(TRIM(E26), "" "")))"),62.0)</f>
        <v>62</v>
      </c>
      <c r="S26" s="8">
        <f t="shared" si="1"/>
        <v>0.00003192</v>
      </c>
    </row>
    <row r="27" ht="15.75" customHeight="1">
      <c r="A27" s="1" t="s">
        <v>129</v>
      </c>
      <c r="B27" s="1" t="s">
        <v>130</v>
      </c>
      <c r="C27" s="1" t="s">
        <v>131</v>
      </c>
      <c r="D27" s="1" t="s">
        <v>132</v>
      </c>
      <c r="E27" s="1" t="s">
        <v>133</v>
      </c>
      <c r="F27" s="1">
        <v>873.6</v>
      </c>
      <c r="G27" s="1">
        <v>808.0</v>
      </c>
      <c r="H27" s="1">
        <v>78.0</v>
      </c>
      <c r="R27" s="1">
        <f>IFERROR(__xludf.DUMMYFUNCTION("IF(E27="""", 0, COUNTA(SPLIT(TRIM(E27), "" "")))"),54.0)</f>
        <v>54</v>
      </c>
      <c r="S27" s="8">
        <f t="shared" si="1"/>
        <v>0.00003126</v>
      </c>
    </row>
    <row r="28" ht="15.75" customHeight="1">
      <c r="A28" s="1" t="s">
        <v>134</v>
      </c>
      <c r="B28" s="1" t="s">
        <v>135</v>
      </c>
      <c r="C28" s="1" t="s">
        <v>131</v>
      </c>
      <c r="D28" s="1" t="s">
        <v>132</v>
      </c>
      <c r="E28" s="1" t="s">
        <v>136</v>
      </c>
      <c r="F28" s="1">
        <v>922.6</v>
      </c>
      <c r="G28" s="1">
        <v>814.0</v>
      </c>
      <c r="H28" s="1">
        <v>89.0</v>
      </c>
      <c r="R28" s="1">
        <f>IFERROR(__xludf.DUMMYFUNCTION("IF(E28="""", 0, COUNTA(SPLIT(TRIM(E28), "" "")))"),63.0)</f>
        <v>63</v>
      </c>
      <c r="S28" s="8">
        <f t="shared" si="1"/>
        <v>0.00003243</v>
      </c>
    </row>
    <row r="29" ht="15.75" customHeight="1">
      <c r="A29" s="1" t="s">
        <v>137</v>
      </c>
      <c r="B29" s="1" t="s">
        <v>138</v>
      </c>
      <c r="C29" s="1" t="s">
        <v>139</v>
      </c>
      <c r="D29" s="1" t="s">
        <v>119</v>
      </c>
      <c r="E29" s="1" t="s">
        <v>140</v>
      </c>
      <c r="F29" s="1">
        <v>959.4</v>
      </c>
      <c r="G29" s="1">
        <v>807.0</v>
      </c>
      <c r="H29" s="1">
        <v>93.0</v>
      </c>
      <c r="R29" s="1">
        <f>IFERROR(__xludf.DUMMYFUNCTION("IF(E29="""", 0, COUNTA(SPLIT(TRIM(E29), "" "")))"),71.0)</f>
        <v>71</v>
      </c>
      <c r="S29" s="8">
        <f t="shared" si="1"/>
        <v>0.00003258</v>
      </c>
    </row>
    <row r="30" ht="15.75" customHeight="1">
      <c r="A30" s="1" t="s">
        <v>141</v>
      </c>
      <c r="B30" s="1" t="s">
        <v>142</v>
      </c>
      <c r="C30" s="1" t="s">
        <v>143</v>
      </c>
      <c r="D30" s="1" t="s">
        <v>119</v>
      </c>
      <c r="E30" s="1" t="s">
        <v>144</v>
      </c>
      <c r="F30" s="1">
        <v>1085.8</v>
      </c>
      <c r="G30" s="1">
        <v>812.0</v>
      </c>
      <c r="H30" s="1">
        <v>105.0</v>
      </c>
      <c r="R30" s="1">
        <f>IFERROR(__xludf.DUMMYFUNCTION("IF(E30="""", 0, COUNTA(SPLIT(TRIM(E30), "" "")))"),69.0)</f>
        <v>69</v>
      </c>
      <c r="S30" s="8">
        <f t="shared" si="1"/>
        <v>0.00003381</v>
      </c>
    </row>
    <row r="31" ht="15.75" customHeight="1">
      <c r="A31" s="1" t="s">
        <v>145</v>
      </c>
      <c r="B31" s="1" t="s">
        <v>146</v>
      </c>
      <c r="C31" s="1" t="s">
        <v>147</v>
      </c>
      <c r="D31" s="1" t="s">
        <v>119</v>
      </c>
      <c r="E31" s="1" t="s">
        <v>148</v>
      </c>
      <c r="F31" s="1">
        <v>1028.7</v>
      </c>
      <c r="G31" s="1">
        <v>809.0</v>
      </c>
      <c r="H31" s="1">
        <v>107.0</v>
      </c>
      <c r="R31" s="1">
        <f>IFERROR(__xludf.DUMMYFUNCTION("IF(E31="""", 0, COUNTA(SPLIT(TRIM(E31), "" "")))"),74.0)</f>
        <v>74</v>
      </c>
      <c r="S31" s="8">
        <f t="shared" si="1"/>
        <v>0.0000339</v>
      </c>
    </row>
    <row r="32" ht="15.75" customHeight="1">
      <c r="A32" s="1" t="s">
        <v>149</v>
      </c>
      <c r="B32" s="1" t="s">
        <v>150</v>
      </c>
      <c r="C32" s="1" t="s">
        <v>151</v>
      </c>
      <c r="D32" s="1" t="s">
        <v>152</v>
      </c>
      <c r="E32" s="1" t="s">
        <v>153</v>
      </c>
      <c r="F32" s="1">
        <v>956.9</v>
      </c>
      <c r="G32" s="1">
        <v>818.0</v>
      </c>
      <c r="H32" s="1">
        <v>100.0</v>
      </c>
      <c r="R32" s="1">
        <f>IFERROR(__xludf.DUMMYFUNCTION("IF(E32="""", 0, COUNTA(SPLIT(TRIM(E32), "" "")))"),73.0)</f>
        <v>73</v>
      </c>
      <c r="S32" s="8">
        <f t="shared" si="1"/>
        <v>0.00003354</v>
      </c>
    </row>
    <row r="33" ht="15.75" customHeight="1">
      <c r="A33" s="1" t="s">
        <v>154</v>
      </c>
      <c r="B33" s="1" t="s">
        <v>155</v>
      </c>
      <c r="C33" s="1" t="s">
        <v>151</v>
      </c>
      <c r="D33" s="1" t="s">
        <v>152</v>
      </c>
      <c r="E33" s="1" t="s">
        <v>156</v>
      </c>
      <c r="F33" s="1">
        <v>1086.0</v>
      </c>
      <c r="G33" s="1">
        <v>813.0</v>
      </c>
      <c r="H33" s="1">
        <v>103.0</v>
      </c>
      <c r="R33" s="1">
        <f>IFERROR(__xludf.DUMMYFUNCTION("IF(E33="""", 0, COUNTA(SPLIT(TRIM(E33), "" "")))"),75.0)</f>
        <v>75</v>
      </c>
      <c r="S33" s="8">
        <f t="shared" si="1"/>
        <v>0.00003366</v>
      </c>
    </row>
    <row r="34" ht="15.75" customHeight="1">
      <c r="A34" s="1" t="s">
        <v>157</v>
      </c>
      <c r="B34" s="1" t="s">
        <v>158</v>
      </c>
      <c r="C34" s="1" t="s">
        <v>159</v>
      </c>
      <c r="D34" s="1" t="s">
        <v>22</v>
      </c>
      <c r="E34" s="1" t="s">
        <v>160</v>
      </c>
      <c r="F34" s="1">
        <v>1135.3</v>
      </c>
      <c r="G34" s="1">
        <v>819.0</v>
      </c>
      <c r="H34" s="1">
        <v>130.0</v>
      </c>
      <c r="R34" s="1">
        <f>IFERROR(__xludf.DUMMYFUNCTION("IF(E34="""", 0, COUNTA(SPLIT(TRIM(E34), "" "")))"),86.0)</f>
        <v>86</v>
      </c>
      <c r="S34" s="8">
        <f t="shared" si="1"/>
        <v>0.00003627</v>
      </c>
    </row>
    <row r="35" ht="15.75" customHeight="1">
      <c r="A35" s="1" t="s">
        <v>161</v>
      </c>
      <c r="B35" s="1" t="s">
        <v>162</v>
      </c>
      <c r="C35" s="1" t="s">
        <v>79</v>
      </c>
      <c r="D35" s="1" t="s">
        <v>22</v>
      </c>
      <c r="E35" s="1" t="s">
        <v>163</v>
      </c>
      <c r="F35" s="1">
        <v>929.4</v>
      </c>
      <c r="G35" s="1">
        <v>810.0</v>
      </c>
      <c r="H35" s="1">
        <v>96.0</v>
      </c>
      <c r="R35" s="1">
        <f>IFERROR(__xludf.DUMMYFUNCTION("IF(E35="""", 0, COUNTA(SPLIT(TRIM(E35), "" "")))"),69.0)</f>
        <v>69</v>
      </c>
      <c r="S35" s="8">
        <f t="shared" si="1"/>
        <v>0.00003294</v>
      </c>
    </row>
    <row r="36" ht="15.75" customHeight="1">
      <c r="A36" s="1" t="s">
        <v>164</v>
      </c>
      <c r="B36" s="1" t="s">
        <v>165</v>
      </c>
      <c r="C36" s="1" t="s">
        <v>166</v>
      </c>
      <c r="D36" s="1" t="s">
        <v>167</v>
      </c>
      <c r="E36" s="1" t="s">
        <v>168</v>
      </c>
      <c r="F36" s="1">
        <v>1110.5</v>
      </c>
      <c r="G36" s="1">
        <v>810.0</v>
      </c>
      <c r="H36" s="1">
        <v>115.0</v>
      </c>
      <c r="R36" s="1">
        <f>IFERROR(__xludf.DUMMYFUNCTION("IF(E36="""", 0, COUNTA(SPLIT(TRIM(E36), "" "")))"),74.0)</f>
        <v>74</v>
      </c>
      <c r="S36" s="8">
        <f t="shared" si="1"/>
        <v>0.00003465</v>
      </c>
    </row>
    <row r="37" ht="15.75" customHeight="1">
      <c r="A37" s="1" t="s">
        <v>169</v>
      </c>
      <c r="B37" s="1" t="s">
        <v>170</v>
      </c>
      <c r="C37" s="1" t="s">
        <v>171</v>
      </c>
      <c r="D37" s="1" t="s">
        <v>22</v>
      </c>
      <c r="E37" s="1" t="s">
        <v>172</v>
      </c>
      <c r="F37" s="1">
        <v>904.5</v>
      </c>
      <c r="G37" s="1">
        <v>816.0</v>
      </c>
      <c r="H37" s="1">
        <v>92.0</v>
      </c>
      <c r="R37" s="1">
        <f>IFERROR(__xludf.DUMMYFUNCTION("IF(E37="""", 0, COUNTA(SPLIT(TRIM(E37), "" "")))"),63.0)</f>
        <v>63</v>
      </c>
      <c r="S37" s="8">
        <f t="shared" si="1"/>
        <v>0.00003276</v>
      </c>
    </row>
    <row r="38" ht="15.75" customHeight="1">
      <c r="A38" s="1" t="s">
        <v>173</v>
      </c>
      <c r="B38" s="1" t="s">
        <v>174</v>
      </c>
      <c r="C38" s="1" t="s">
        <v>175</v>
      </c>
      <c r="D38" s="1" t="s">
        <v>176</v>
      </c>
      <c r="E38" s="1" t="s">
        <v>177</v>
      </c>
      <c r="F38" s="1">
        <v>1145.5</v>
      </c>
      <c r="G38" s="1">
        <v>813.0</v>
      </c>
      <c r="H38" s="1">
        <v>94.0</v>
      </c>
      <c r="R38" s="1">
        <f>IFERROR(__xludf.DUMMYFUNCTION("IF(E38="""", 0, COUNTA(SPLIT(TRIM(E38), "" "")))"),72.0)</f>
        <v>72</v>
      </c>
      <c r="S38" s="8">
        <f t="shared" si="1"/>
        <v>0.00003285</v>
      </c>
    </row>
    <row r="39" ht="15.75" customHeight="1">
      <c r="A39" s="1" t="s">
        <v>178</v>
      </c>
      <c r="B39" s="1" t="s">
        <v>179</v>
      </c>
      <c r="C39" s="1" t="s">
        <v>180</v>
      </c>
      <c r="D39" s="1" t="s">
        <v>176</v>
      </c>
      <c r="E39" s="1" t="s">
        <v>181</v>
      </c>
      <c r="F39" s="1">
        <v>1402.2</v>
      </c>
      <c r="G39" s="1">
        <v>829.0</v>
      </c>
      <c r="H39" s="1">
        <v>119.0</v>
      </c>
      <c r="R39" s="1">
        <f>IFERROR(__xludf.DUMMYFUNCTION("IF(E39="""", 0, COUNTA(SPLIT(TRIM(E39), "" "")))"),65.0)</f>
        <v>65</v>
      </c>
      <c r="S39" s="8">
        <f t="shared" si="1"/>
        <v>0.00003558</v>
      </c>
    </row>
    <row r="40" ht="15.75" customHeight="1">
      <c r="A40" s="1" t="s">
        <v>182</v>
      </c>
      <c r="B40" s="1" t="s">
        <v>183</v>
      </c>
      <c r="C40" s="1" t="s">
        <v>109</v>
      </c>
      <c r="D40" s="1" t="s">
        <v>22</v>
      </c>
      <c r="E40" s="1" t="s">
        <v>184</v>
      </c>
      <c r="F40" s="1">
        <v>1254.2</v>
      </c>
      <c r="G40" s="1">
        <v>810.0</v>
      </c>
      <c r="H40" s="1">
        <v>112.0</v>
      </c>
      <c r="R40" s="1">
        <f>IFERROR(__xludf.DUMMYFUNCTION("IF(E40="""", 0, COUNTA(SPLIT(TRIM(E40), "" "")))"),77.0)</f>
        <v>77</v>
      </c>
      <c r="S40" s="8">
        <f t="shared" si="1"/>
        <v>0.00003438</v>
      </c>
    </row>
    <row r="41" ht="15.75" customHeight="1">
      <c r="A41" s="1" t="s">
        <v>185</v>
      </c>
      <c r="B41" s="1" t="s">
        <v>186</v>
      </c>
      <c r="C41" s="1" t="s">
        <v>180</v>
      </c>
      <c r="D41" s="1" t="s">
        <v>22</v>
      </c>
      <c r="E41" s="1" t="s">
        <v>187</v>
      </c>
      <c r="F41" s="1">
        <v>827.8</v>
      </c>
      <c r="G41" s="1">
        <v>810.0</v>
      </c>
      <c r="H41" s="1">
        <v>87.0</v>
      </c>
      <c r="R41" s="1">
        <f>IFERROR(__xludf.DUMMYFUNCTION("IF(E41="""", 0, COUNTA(SPLIT(TRIM(E41), "" "")))"),53.0)</f>
        <v>53</v>
      </c>
      <c r="S41" s="8">
        <f t="shared" si="1"/>
        <v>0.00003213</v>
      </c>
    </row>
    <row r="42" ht="15.75" customHeight="1">
      <c r="A42" s="1" t="s">
        <v>188</v>
      </c>
      <c r="B42" s="1" t="s">
        <v>189</v>
      </c>
      <c r="C42" s="1" t="s">
        <v>190</v>
      </c>
      <c r="D42" s="1" t="s">
        <v>191</v>
      </c>
      <c r="E42" s="1" t="s">
        <v>192</v>
      </c>
      <c r="F42" s="1">
        <v>1118.2</v>
      </c>
      <c r="G42" s="1">
        <v>812.0</v>
      </c>
      <c r="H42" s="1">
        <v>108.0</v>
      </c>
      <c r="R42" s="1">
        <f>IFERROR(__xludf.DUMMYFUNCTION("IF(E42="""", 0, COUNTA(SPLIT(TRIM(E42), "" "")))"),72.0)</f>
        <v>72</v>
      </c>
      <c r="S42" s="8">
        <f t="shared" si="1"/>
        <v>0.00003408</v>
      </c>
    </row>
    <row r="43" ht="15.75" customHeight="1">
      <c r="A43" s="1" t="s">
        <v>193</v>
      </c>
      <c r="B43" s="1" t="s">
        <v>194</v>
      </c>
      <c r="C43" s="1" t="s">
        <v>180</v>
      </c>
      <c r="D43" s="1" t="s">
        <v>22</v>
      </c>
      <c r="E43" s="1" t="s">
        <v>195</v>
      </c>
      <c r="F43" s="1">
        <v>1022.2</v>
      </c>
      <c r="G43" s="1">
        <v>810.0</v>
      </c>
      <c r="H43" s="1">
        <v>91.0</v>
      </c>
      <c r="R43" s="1">
        <f>IFERROR(__xludf.DUMMYFUNCTION("IF(E43="""", 0, COUNTA(SPLIT(TRIM(E43), "" "")))"),67.0)</f>
        <v>67</v>
      </c>
      <c r="S43" s="8">
        <f t="shared" si="1"/>
        <v>0.00003249</v>
      </c>
    </row>
    <row r="44" ht="15.75" customHeight="1">
      <c r="A44" s="1" t="s">
        <v>196</v>
      </c>
      <c r="B44" s="1" t="s">
        <v>197</v>
      </c>
      <c r="C44" s="1" t="s">
        <v>180</v>
      </c>
      <c r="D44" s="1" t="s">
        <v>191</v>
      </c>
      <c r="E44" s="1" t="s">
        <v>198</v>
      </c>
      <c r="F44" s="1">
        <v>940.2</v>
      </c>
      <c r="G44" s="1">
        <v>813.0</v>
      </c>
      <c r="H44" s="1">
        <v>109.0</v>
      </c>
      <c r="R44" s="1">
        <f>IFERROR(__xludf.DUMMYFUNCTION("IF(E44="""", 0, COUNTA(SPLIT(TRIM(E44), "" "")))"),74.0)</f>
        <v>74</v>
      </c>
      <c r="S44" s="8">
        <f t="shared" si="1"/>
        <v>0.0000342</v>
      </c>
    </row>
    <row r="45" ht="15.75" customHeight="1">
      <c r="A45" s="1" t="s">
        <v>199</v>
      </c>
      <c r="B45" s="1" t="s">
        <v>200</v>
      </c>
      <c r="C45" s="1" t="s">
        <v>201</v>
      </c>
      <c r="D45" s="1" t="s">
        <v>202</v>
      </c>
      <c r="E45" s="1" t="s">
        <v>203</v>
      </c>
      <c r="F45" s="1">
        <v>924.9</v>
      </c>
      <c r="G45" s="1">
        <v>829.0</v>
      </c>
      <c r="H45" s="1">
        <v>97.0</v>
      </c>
      <c r="R45" s="1">
        <f>IFERROR(__xludf.DUMMYFUNCTION("IF(E45="""", 0, COUNTA(SPLIT(TRIM(E45), "" "")))"),63.0)</f>
        <v>63</v>
      </c>
      <c r="S45" s="8">
        <f t="shared" si="1"/>
        <v>0.0000336</v>
      </c>
    </row>
    <row r="46" ht="15.75" customHeight="1">
      <c r="A46" s="1" t="s">
        <v>204</v>
      </c>
      <c r="B46" s="1" t="s">
        <v>205</v>
      </c>
      <c r="C46" s="1" t="s">
        <v>83</v>
      </c>
      <c r="D46" s="1" t="s">
        <v>22</v>
      </c>
      <c r="E46" s="1" t="s">
        <v>206</v>
      </c>
      <c r="F46" s="1">
        <v>1245.7</v>
      </c>
      <c r="G46" s="1">
        <v>823.0</v>
      </c>
      <c r="H46" s="1">
        <v>133.0</v>
      </c>
      <c r="R46" s="1">
        <f>IFERROR(__xludf.DUMMYFUNCTION("IF(E46="""", 0, COUNTA(SPLIT(TRIM(E46), "" "")))"),82.0)</f>
        <v>82</v>
      </c>
      <c r="S46" s="8">
        <f t="shared" si="1"/>
        <v>0.00003666</v>
      </c>
    </row>
    <row r="47" ht="15.75" customHeight="1">
      <c r="A47" s="1" t="s">
        <v>207</v>
      </c>
      <c r="B47" s="1" t="s">
        <v>208</v>
      </c>
      <c r="C47" s="1" t="s">
        <v>180</v>
      </c>
      <c r="D47" s="1" t="s">
        <v>209</v>
      </c>
      <c r="E47" s="1" t="s">
        <v>210</v>
      </c>
      <c r="F47" s="1">
        <v>932.0</v>
      </c>
      <c r="G47" s="1">
        <v>819.0</v>
      </c>
      <c r="H47" s="1">
        <v>93.0</v>
      </c>
      <c r="R47" s="1">
        <f>IFERROR(__xludf.DUMMYFUNCTION("IF(E47="""", 0, COUNTA(SPLIT(TRIM(E47), "" "")))"),52.0)</f>
        <v>52</v>
      </c>
      <c r="S47" s="8">
        <f t="shared" si="1"/>
        <v>0.00003294</v>
      </c>
    </row>
    <row r="48" ht="15.75" customHeight="1">
      <c r="A48" s="1" t="s">
        <v>211</v>
      </c>
      <c r="B48" s="1" t="s">
        <v>212</v>
      </c>
      <c r="C48" s="1" t="s">
        <v>213</v>
      </c>
      <c r="D48" s="1" t="s">
        <v>119</v>
      </c>
      <c r="E48" s="1" t="s">
        <v>214</v>
      </c>
      <c r="F48" s="1">
        <v>909.4</v>
      </c>
      <c r="G48" s="1">
        <v>821.0</v>
      </c>
      <c r="H48" s="1">
        <v>97.0</v>
      </c>
      <c r="R48" s="1">
        <f>IFERROR(__xludf.DUMMYFUNCTION("IF(E48="""", 0, COUNTA(SPLIT(TRIM(E48), "" "")))"),62.0)</f>
        <v>62</v>
      </c>
      <c r="S48" s="8">
        <f t="shared" si="1"/>
        <v>0.00003336</v>
      </c>
    </row>
    <row r="49" ht="15.75" customHeight="1">
      <c r="A49" s="1" t="s">
        <v>215</v>
      </c>
      <c r="B49" s="1" t="s">
        <v>216</v>
      </c>
      <c r="C49" s="1" t="s">
        <v>217</v>
      </c>
      <c r="D49" s="1" t="s">
        <v>218</v>
      </c>
      <c r="E49" s="1" t="s">
        <v>219</v>
      </c>
      <c r="F49" s="1">
        <v>1291.8</v>
      </c>
      <c r="G49" s="1">
        <v>831.0</v>
      </c>
      <c r="H49" s="1">
        <v>127.0</v>
      </c>
      <c r="R49" s="1">
        <f>IFERROR(__xludf.DUMMYFUNCTION("IF(E49="""", 0, COUNTA(SPLIT(TRIM(E49), "" "")))"),75.0)</f>
        <v>75</v>
      </c>
      <c r="S49" s="8">
        <f t="shared" si="1"/>
        <v>0.00003636</v>
      </c>
    </row>
    <row r="50" ht="15.75" customHeight="1">
      <c r="A50" s="1" t="s">
        <v>220</v>
      </c>
      <c r="B50" s="1" t="s">
        <v>221</v>
      </c>
      <c r="C50" s="1" t="s">
        <v>222</v>
      </c>
      <c r="D50" s="1" t="s">
        <v>218</v>
      </c>
      <c r="E50" s="1" t="s">
        <v>223</v>
      </c>
      <c r="F50" s="1">
        <v>1103.1</v>
      </c>
      <c r="G50" s="1">
        <v>820.0</v>
      </c>
      <c r="H50" s="1">
        <v>114.0</v>
      </c>
      <c r="R50" s="1">
        <f>IFERROR(__xludf.DUMMYFUNCTION("IF(E50="""", 0, COUNTA(SPLIT(TRIM(E50), "" "")))"),78.0)</f>
        <v>78</v>
      </c>
      <c r="S50" s="8">
        <f t="shared" si="1"/>
        <v>0.00003486</v>
      </c>
    </row>
    <row r="51" ht="15.75" customHeight="1">
      <c r="A51" s="1" t="s">
        <v>224</v>
      </c>
      <c r="B51" s="1" t="s">
        <v>225</v>
      </c>
      <c r="C51" s="1" t="s">
        <v>222</v>
      </c>
      <c r="D51" s="1" t="s">
        <v>218</v>
      </c>
      <c r="E51" s="1" t="s">
        <v>226</v>
      </c>
      <c r="F51" s="1">
        <v>1122.6</v>
      </c>
      <c r="G51" s="1">
        <v>826.0</v>
      </c>
      <c r="H51" s="1">
        <v>115.0</v>
      </c>
      <c r="R51" s="1">
        <f>IFERROR(__xludf.DUMMYFUNCTION("IF(E51="""", 0, COUNTA(SPLIT(TRIM(E51), "" "")))"),69.0)</f>
        <v>69</v>
      </c>
      <c r="S51" s="8">
        <f t="shared" si="1"/>
        <v>0.00003513</v>
      </c>
    </row>
    <row r="52" ht="15.75" customHeight="1">
      <c r="S52" s="5"/>
    </row>
    <row r="53" ht="15.75" customHeight="1">
      <c r="S53" s="5"/>
    </row>
    <row r="54" ht="15.75" customHeight="1">
      <c r="S54" s="5"/>
    </row>
    <row r="55" ht="15.75" customHeight="1">
      <c r="S55" s="5"/>
    </row>
    <row r="56" ht="15.75" customHeight="1">
      <c r="S56" s="5"/>
    </row>
    <row r="57" ht="15.75" customHeight="1">
      <c r="S57" s="5"/>
    </row>
    <row r="58" ht="15.75" customHeight="1">
      <c r="S58" s="5"/>
    </row>
    <row r="59" ht="15.75" customHeight="1">
      <c r="S59" s="5"/>
    </row>
    <row r="60" ht="15.75" customHeight="1">
      <c r="S60" s="5"/>
    </row>
    <row r="61" ht="15.75" customHeight="1">
      <c r="S61" s="5"/>
    </row>
    <row r="62" ht="15.75" customHeight="1">
      <c r="S62" s="5"/>
    </row>
    <row r="63" ht="15.75" customHeight="1">
      <c r="S63" s="5"/>
    </row>
    <row r="64" ht="15.75" customHeight="1">
      <c r="S64" s="5"/>
    </row>
    <row r="65" ht="15.75" customHeight="1">
      <c r="S65" s="5"/>
    </row>
    <row r="66" ht="15.75" customHeight="1">
      <c r="S66" s="5"/>
    </row>
    <row r="67" ht="15.75" customHeight="1">
      <c r="S67" s="5"/>
    </row>
    <row r="68" ht="15.75" customHeight="1">
      <c r="S68" s="5"/>
    </row>
    <row r="69" ht="15.75" customHeight="1">
      <c r="S69" s="5"/>
    </row>
    <row r="70" ht="15.75" customHeight="1">
      <c r="S70" s="5"/>
    </row>
    <row r="71" ht="15.75" customHeight="1">
      <c r="S71" s="5"/>
    </row>
    <row r="72" ht="15.75" customHeight="1">
      <c r="S72" s="5"/>
    </row>
    <row r="73" ht="15.75" customHeight="1">
      <c r="S73" s="5"/>
    </row>
    <row r="74" ht="15.75" customHeight="1">
      <c r="S74" s="5"/>
    </row>
    <row r="75" ht="15.75" customHeight="1">
      <c r="S75" s="5"/>
    </row>
    <row r="76" ht="15.75" customHeight="1">
      <c r="S76" s="5"/>
    </row>
    <row r="77" ht="15.75" customHeight="1">
      <c r="S77" s="5"/>
    </row>
    <row r="78" ht="15.75" customHeight="1">
      <c r="S78" s="5"/>
    </row>
    <row r="79" ht="15.75" customHeight="1">
      <c r="S79" s="5"/>
    </row>
    <row r="80" ht="15.75" customHeight="1">
      <c r="S80" s="5"/>
    </row>
    <row r="81" ht="15.75" customHeight="1">
      <c r="S81" s="5"/>
    </row>
    <row r="82" ht="15.75" customHeight="1">
      <c r="S82" s="5"/>
    </row>
    <row r="83" ht="15.75" customHeight="1">
      <c r="S83" s="5"/>
    </row>
    <row r="84" ht="15.75" customHeight="1">
      <c r="S84" s="5"/>
    </row>
    <row r="85" ht="15.75" customHeight="1">
      <c r="S85" s="5"/>
    </row>
    <row r="86" ht="15.75" customHeight="1">
      <c r="S86" s="5"/>
    </row>
    <row r="87" ht="15.75" customHeight="1">
      <c r="S87" s="5"/>
    </row>
    <row r="88" ht="15.75" customHeight="1">
      <c r="S88" s="5"/>
    </row>
    <row r="89" ht="15.75" customHeight="1">
      <c r="S89" s="5"/>
    </row>
    <row r="90" ht="15.75" customHeight="1">
      <c r="S90" s="5"/>
    </row>
    <row r="91" ht="15.75" customHeight="1">
      <c r="S91" s="5"/>
    </row>
    <row r="92" ht="15.75" customHeight="1">
      <c r="S92" s="5"/>
    </row>
    <row r="93" ht="15.75" customHeight="1">
      <c r="S93" s="5"/>
    </row>
    <row r="94" ht="15.75" customHeight="1">
      <c r="S94" s="5"/>
    </row>
    <row r="95" ht="15.75" customHeight="1">
      <c r="S95" s="5"/>
    </row>
    <row r="96" ht="15.75" customHeight="1">
      <c r="S96" s="5"/>
    </row>
    <row r="97" ht="15.75" customHeight="1">
      <c r="S97" s="5"/>
    </row>
    <row r="98" ht="15.75" customHeight="1">
      <c r="S98" s="5"/>
    </row>
    <row r="99" ht="15.75" customHeight="1">
      <c r="S99" s="5"/>
    </row>
    <row r="100" ht="15.75" customHeight="1">
      <c r="S100" s="5"/>
    </row>
    <row r="101" ht="15.75" customHeight="1">
      <c r="S101" s="5"/>
    </row>
    <row r="102" ht="15.75" customHeight="1">
      <c r="S102" s="5"/>
    </row>
    <row r="103" ht="15.75" customHeight="1">
      <c r="S103" s="5"/>
    </row>
    <row r="104" ht="15.75" customHeight="1">
      <c r="S104" s="5"/>
    </row>
    <row r="105" ht="15.75" customHeight="1">
      <c r="S105" s="5"/>
    </row>
    <row r="106" ht="15.75" customHeight="1">
      <c r="S106" s="5"/>
    </row>
    <row r="107" ht="15.75" customHeight="1">
      <c r="S107" s="5"/>
    </row>
    <row r="108" ht="15.75" customHeight="1">
      <c r="S108" s="5"/>
    </row>
    <row r="109" ht="15.75" customHeight="1">
      <c r="S109" s="5"/>
    </row>
    <row r="110" ht="15.75" customHeight="1">
      <c r="S110" s="5"/>
    </row>
    <row r="111" ht="15.75" customHeight="1">
      <c r="S111" s="5"/>
    </row>
    <row r="112" ht="15.75" customHeight="1">
      <c r="S112" s="5"/>
    </row>
    <row r="113" ht="15.75" customHeight="1">
      <c r="S113" s="5"/>
    </row>
    <row r="114" ht="15.75" customHeight="1">
      <c r="S114" s="5"/>
    </row>
    <row r="115" ht="15.75" customHeight="1">
      <c r="S115" s="5"/>
    </row>
    <row r="116" ht="15.75" customHeight="1">
      <c r="S116" s="5"/>
    </row>
    <row r="117" ht="15.75" customHeight="1">
      <c r="S117" s="5"/>
    </row>
    <row r="118" ht="15.75" customHeight="1">
      <c r="S118" s="5"/>
    </row>
    <row r="119" ht="15.75" customHeight="1">
      <c r="S119" s="5"/>
    </row>
    <row r="120" ht="15.75" customHeight="1">
      <c r="S120" s="5"/>
    </row>
    <row r="121" ht="15.75" customHeight="1">
      <c r="S121" s="5"/>
    </row>
    <row r="122" ht="15.75" customHeight="1">
      <c r="S122" s="5"/>
    </row>
    <row r="123" ht="15.75" customHeight="1">
      <c r="S123" s="5"/>
    </row>
    <row r="124" ht="15.75" customHeight="1">
      <c r="S124" s="5"/>
    </row>
    <row r="125" ht="15.75" customHeight="1">
      <c r="S125" s="5"/>
    </row>
    <row r="126" ht="15.75" customHeight="1">
      <c r="S126" s="5"/>
    </row>
    <row r="127" ht="15.75" customHeight="1">
      <c r="S127" s="5"/>
    </row>
    <row r="128" ht="15.75" customHeight="1">
      <c r="S128" s="5"/>
    </row>
    <row r="129" ht="15.75" customHeight="1">
      <c r="S129" s="5"/>
    </row>
    <row r="130" ht="15.75" customHeight="1">
      <c r="S130" s="5"/>
    </row>
    <row r="131" ht="15.75" customHeight="1">
      <c r="S131" s="5"/>
    </row>
    <row r="132" ht="15.75" customHeight="1">
      <c r="S132" s="5"/>
    </row>
    <row r="133" ht="15.75" customHeight="1">
      <c r="S133" s="5"/>
    </row>
    <row r="134" ht="15.75" customHeight="1">
      <c r="S134" s="5"/>
    </row>
    <row r="135" ht="15.75" customHeight="1">
      <c r="S135" s="5"/>
    </row>
    <row r="136" ht="15.75" customHeight="1">
      <c r="S136" s="5"/>
    </row>
    <row r="137" ht="15.75" customHeight="1">
      <c r="S137" s="5"/>
    </row>
    <row r="138" ht="15.75" customHeight="1">
      <c r="S138" s="5"/>
    </row>
    <row r="139" ht="15.75" customHeight="1">
      <c r="S139" s="5"/>
    </row>
    <row r="140" ht="15.75" customHeight="1">
      <c r="S140" s="5"/>
    </row>
    <row r="141" ht="15.75" customHeight="1">
      <c r="S141" s="5"/>
    </row>
    <row r="142" ht="15.75" customHeight="1">
      <c r="S142" s="5"/>
    </row>
    <row r="143" ht="15.75" customHeight="1">
      <c r="S143" s="5"/>
    </row>
    <row r="144" ht="15.75" customHeight="1">
      <c r="S144" s="5"/>
    </row>
    <row r="145" ht="15.75" customHeight="1">
      <c r="S145" s="5"/>
    </row>
    <row r="146" ht="15.75" customHeight="1">
      <c r="S146" s="5"/>
    </row>
    <row r="147" ht="15.75" customHeight="1">
      <c r="S147" s="5"/>
    </row>
    <row r="148" ht="15.75" customHeight="1">
      <c r="S148" s="5"/>
    </row>
    <row r="149" ht="15.75" customHeight="1">
      <c r="S149" s="5"/>
    </row>
    <row r="150" ht="15.75" customHeight="1">
      <c r="S150" s="5"/>
    </row>
    <row r="151" ht="15.75" customHeight="1">
      <c r="S151" s="5"/>
    </row>
    <row r="152" ht="15.75" customHeight="1">
      <c r="S152" s="5"/>
    </row>
    <row r="153" ht="15.75" customHeight="1">
      <c r="S153" s="5"/>
    </row>
    <row r="154" ht="15.75" customHeight="1">
      <c r="S154" s="5"/>
    </row>
    <row r="155" ht="15.75" customHeight="1">
      <c r="S155" s="5"/>
    </row>
    <row r="156" ht="15.75" customHeight="1">
      <c r="S156" s="5"/>
    </row>
    <row r="157" ht="15.75" customHeight="1">
      <c r="S157" s="5"/>
    </row>
    <row r="158" ht="15.75" customHeight="1">
      <c r="S158" s="5"/>
    </row>
    <row r="159" ht="15.75" customHeight="1">
      <c r="S159" s="5"/>
    </row>
    <row r="160" ht="15.75" customHeight="1">
      <c r="S160" s="5"/>
    </row>
    <row r="161" ht="15.75" customHeight="1">
      <c r="S161" s="5"/>
    </row>
    <row r="162" ht="15.75" customHeight="1">
      <c r="S162" s="5"/>
    </row>
    <row r="163" ht="15.75" customHeight="1">
      <c r="S163" s="5"/>
    </row>
    <row r="164" ht="15.75" customHeight="1">
      <c r="S164" s="5"/>
    </row>
    <row r="165" ht="15.75" customHeight="1">
      <c r="S165" s="5"/>
    </row>
    <row r="166" ht="15.75" customHeight="1">
      <c r="S166" s="5"/>
    </row>
    <row r="167" ht="15.75" customHeight="1">
      <c r="S167" s="5"/>
    </row>
    <row r="168" ht="15.75" customHeight="1">
      <c r="S168" s="5"/>
    </row>
    <row r="169" ht="15.75" customHeight="1">
      <c r="S169" s="5"/>
    </row>
    <row r="170" ht="15.75" customHeight="1">
      <c r="S170" s="5"/>
    </row>
    <row r="171" ht="15.75" customHeight="1">
      <c r="S171" s="5"/>
    </row>
    <row r="172" ht="15.75" customHeight="1">
      <c r="S172" s="5"/>
    </row>
    <row r="173" ht="15.75" customHeight="1">
      <c r="S173" s="5"/>
    </row>
    <row r="174" ht="15.75" customHeight="1">
      <c r="S174" s="5"/>
    </row>
    <row r="175" ht="15.75" customHeight="1">
      <c r="S175" s="5"/>
    </row>
    <row r="176" ht="15.75" customHeight="1">
      <c r="S176" s="5"/>
    </row>
    <row r="177" ht="15.75" customHeight="1">
      <c r="S177" s="5"/>
    </row>
    <row r="178" ht="15.75" customHeight="1">
      <c r="S178" s="5"/>
    </row>
    <row r="179" ht="15.75" customHeight="1">
      <c r="S179" s="5"/>
    </row>
    <row r="180" ht="15.75" customHeight="1">
      <c r="S180" s="5"/>
    </row>
    <row r="181" ht="15.75" customHeight="1">
      <c r="S181" s="5"/>
    </row>
    <row r="182" ht="15.75" customHeight="1">
      <c r="S182" s="5"/>
    </row>
    <row r="183" ht="15.75" customHeight="1">
      <c r="S183" s="5"/>
    </row>
    <row r="184" ht="15.75" customHeight="1">
      <c r="S184" s="5"/>
    </row>
    <row r="185" ht="15.75" customHeight="1">
      <c r="S185" s="5"/>
    </row>
    <row r="186" ht="15.75" customHeight="1">
      <c r="S186" s="5"/>
    </row>
    <row r="187" ht="15.75" customHeight="1">
      <c r="S187" s="5"/>
    </row>
    <row r="188" ht="15.75" customHeight="1">
      <c r="S188" s="5"/>
    </row>
    <row r="189" ht="15.75" customHeight="1">
      <c r="S189" s="5"/>
    </row>
    <row r="190" ht="15.75" customHeight="1">
      <c r="S190" s="5"/>
    </row>
    <row r="191" ht="15.75" customHeight="1">
      <c r="S191" s="5"/>
    </row>
    <row r="192" ht="15.75" customHeight="1">
      <c r="S192" s="5"/>
    </row>
    <row r="193" ht="15.75" customHeight="1">
      <c r="S193" s="5"/>
    </row>
    <row r="194" ht="15.75" customHeight="1">
      <c r="S194" s="5"/>
    </row>
    <row r="195" ht="15.75" customHeight="1">
      <c r="S195" s="5"/>
    </row>
    <row r="196" ht="15.75" customHeight="1">
      <c r="S196" s="5"/>
    </row>
    <row r="197" ht="15.75" customHeight="1">
      <c r="S197" s="5"/>
    </row>
    <row r="198" ht="15.75" customHeight="1">
      <c r="S198" s="5"/>
    </row>
    <row r="199" ht="15.75" customHeight="1">
      <c r="S199" s="5"/>
    </row>
    <row r="200" ht="15.75" customHeight="1">
      <c r="S200" s="5"/>
    </row>
    <row r="201" ht="15.75" customHeight="1">
      <c r="S201" s="5"/>
    </row>
    <row r="202" ht="15.75" customHeight="1">
      <c r="S202" s="5"/>
    </row>
    <row r="203" ht="15.75" customHeight="1">
      <c r="S203" s="5"/>
    </row>
    <row r="204" ht="15.75" customHeight="1">
      <c r="S204" s="5"/>
    </row>
    <row r="205" ht="15.75" customHeight="1">
      <c r="S205" s="5"/>
    </row>
    <row r="206" ht="15.75" customHeight="1">
      <c r="S206" s="5"/>
    </row>
    <row r="207" ht="15.75" customHeight="1">
      <c r="S207" s="5"/>
    </row>
    <row r="208" ht="15.75" customHeight="1">
      <c r="S208" s="5"/>
    </row>
    <row r="209" ht="15.75" customHeight="1">
      <c r="S209" s="5"/>
    </row>
    <row r="210" ht="15.75" customHeight="1">
      <c r="S210" s="5"/>
    </row>
    <row r="211" ht="15.75" customHeight="1">
      <c r="S211" s="5"/>
    </row>
    <row r="212" ht="15.75" customHeight="1">
      <c r="S212" s="5"/>
    </row>
    <row r="213" ht="15.75" customHeight="1">
      <c r="S213" s="5"/>
    </row>
    <row r="214" ht="15.75" customHeight="1">
      <c r="S214" s="5"/>
    </row>
    <row r="215" ht="15.75" customHeight="1">
      <c r="S215" s="5"/>
    </row>
    <row r="216" ht="15.75" customHeight="1">
      <c r="S216" s="5"/>
    </row>
    <row r="217" ht="15.75" customHeight="1">
      <c r="S217" s="5"/>
    </row>
    <row r="218" ht="15.75" customHeight="1">
      <c r="S218" s="5"/>
    </row>
    <row r="219" ht="15.75" customHeight="1">
      <c r="S219" s="5"/>
    </row>
    <row r="220" ht="15.75" customHeight="1">
      <c r="S220" s="5"/>
    </row>
    <row r="221" ht="15.75" customHeight="1">
      <c r="S221" s="5"/>
    </row>
    <row r="222" ht="15.75" customHeight="1">
      <c r="S222" s="5"/>
    </row>
    <row r="223" ht="15.75" customHeight="1">
      <c r="S223" s="5"/>
    </row>
    <row r="224" ht="15.75" customHeight="1">
      <c r="S224" s="5"/>
    </row>
    <row r="225" ht="15.75" customHeight="1">
      <c r="S225" s="5"/>
    </row>
    <row r="226" ht="15.75" customHeight="1">
      <c r="S226" s="5"/>
    </row>
    <row r="227" ht="15.75" customHeight="1">
      <c r="S227" s="5"/>
    </row>
    <row r="228" ht="15.75" customHeight="1">
      <c r="S228" s="5"/>
    </row>
    <row r="229" ht="15.75" customHeight="1">
      <c r="S229" s="5"/>
    </row>
    <row r="230" ht="15.75" customHeight="1">
      <c r="S230" s="5"/>
    </row>
    <row r="231" ht="15.75" customHeight="1">
      <c r="S231" s="5"/>
    </row>
    <row r="232" ht="15.75" customHeight="1">
      <c r="S232" s="5"/>
    </row>
    <row r="233" ht="15.75" customHeight="1">
      <c r="S233" s="5"/>
    </row>
    <row r="234" ht="15.75" customHeight="1">
      <c r="S234" s="5"/>
    </row>
    <row r="235" ht="15.75" customHeight="1">
      <c r="S235" s="5"/>
    </row>
    <row r="236" ht="15.75" customHeight="1">
      <c r="S236" s="5"/>
    </row>
    <row r="237" ht="15.75" customHeight="1">
      <c r="S237" s="5"/>
    </row>
    <row r="238" ht="15.75" customHeight="1">
      <c r="S238" s="5"/>
    </row>
    <row r="239" ht="15.75" customHeight="1">
      <c r="S239" s="5"/>
    </row>
    <row r="240" ht="15.75" customHeight="1">
      <c r="S240" s="5"/>
    </row>
    <row r="241" ht="15.75" customHeight="1">
      <c r="S241" s="5"/>
    </row>
    <row r="242" ht="15.75" customHeight="1">
      <c r="S242" s="5"/>
    </row>
    <row r="243" ht="15.75" customHeight="1">
      <c r="S243" s="5"/>
    </row>
    <row r="244" ht="15.75" customHeight="1">
      <c r="S244" s="5"/>
    </row>
    <row r="245" ht="15.75" customHeight="1">
      <c r="S245" s="5"/>
    </row>
    <row r="246" ht="15.75" customHeight="1">
      <c r="S246" s="5"/>
    </row>
    <row r="247" ht="15.75" customHeight="1">
      <c r="S247" s="5"/>
    </row>
    <row r="248" ht="15.75" customHeight="1">
      <c r="S248" s="5"/>
    </row>
    <row r="249" ht="15.75" customHeight="1">
      <c r="S249" s="5"/>
    </row>
    <row r="250" ht="15.75" customHeight="1">
      <c r="S250" s="5"/>
    </row>
    <row r="251" ht="15.75" customHeight="1">
      <c r="S251" s="5"/>
    </row>
    <row r="252" ht="15.75" customHeight="1">
      <c r="S252" s="5"/>
    </row>
    <row r="253" ht="15.75" customHeight="1">
      <c r="S253" s="5"/>
    </row>
    <row r="254" ht="15.75" customHeight="1">
      <c r="S254" s="5"/>
    </row>
    <row r="255" ht="15.75" customHeight="1">
      <c r="S255" s="5"/>
    </row>
    <row r="256" ht="15.75" customHeight="1">
      <c r="S256" s="5"/>
    </row>
    <row r="257" ht="15.75" customHeight="1">
      <c r="S257" s="5"/>
    </row>
    <row r="258" ht="15.75" customHeight="1">
      <c r="S258" s="5"/>
    </row>
    <row r="259" ht="15.75" customHeight="1">
      <c r="S259" s="5"/>
    </row>
    <row r="260" ht="15.75" customHeight="1">
      <c r="S260" s="5"/>
    </row>
    <row r="261" ht="15.75" customHeight="1">
      <c r="S261" s="5"/>
    </row>
    <row r="262" ht="15.75" customHeight="1">
      <c r="S262" s="5"/>
    </row>
    <row r="263" ht="15.75" customHeight="1">
      <c r="S263" s="5"/>
    </row>
    <row r="264" ht="15.75" customHeight="1">
      <c r="S264" s="5"/>
    </row>
    <row r="265" ht="15.75" customHeight="1">
      <c r="S265" s="5"/>
    </row>
    <row r="266" ht="15.75" customHeight="1">
      <c r="S266" s="5"/>
    </row>
    <row r="267" ht="15.75" customHeight="1">
      <c r="S267" s="5"/>
    </row>
    <row r="268" ht="15.75" customHeight="1">
      <c r="S268" s="5"/>
    </row>
    <row r="269" ht="15.75" customHeight="1">
      <c r="S269" s="5"/>
    </row>
    <row r="270" ht="15.75" customHeight="1">
      <c r="S270" s="5"/>
    </row>
    <row r="271" ht="15.75" customHeight="1">
      <c r="S271" s="5"/>
    </row>
    <row r="272" ht="15.75" customHeight="1">
      <c r="S272" s="5"/>
    </row>
    <row r="273" ht="15.75" customHeight="1">
      <c r="S273" s="5"/>
    </row>
    <row r="274" ht="15.75" customHeight="1">
      <c r="S274" s="5"/>
    </row>
    <row r="275" ht="15.75" customHeight="1">
      <c r="S275" s="5"/>
    </row>
    <row r="276" ht="15.75" customHeight="1">
      <c r="S276" s="5"/>
    </row>
    <row r="277" ht="15.75" customHeight="1">
      <c r="S277" s="5"/>
    </row>
    <row r="278" ht="15.75" customHeight="1">
      <c r="S278" s="5"/>
    </row>
    <row r="279" ht="15.75" customHeight="1">
      <c r="S279" s="5"/>
    </row>
    <row r="280" ht="15.75" customHeight="1">
      <c r="S280" s="5"/>
    </row>
    <row r="281" ht="15.75" customHeight="1">
      <c r="S281" s="5"/>
    </row>
    <row r="282" ht="15.75" customHeight="1">
      <c r="S282" s="5"/>
    </row>
    <row r="283" ht="15.75" customHeight="1">
      <c r="S283" s="5"/>
    </row>
    <row r="284" ht="15.75" customHeight="1">
      <c r="S284" s="5"/>
    </row>
    <row r="285" ht="15.75" customHeight="1">
      <c r="S285" s="5"/>
    </row>
    <row r="286" ht="15.75" customHeight="1">
      <c r="S286" s="5"/>
    </row>
    <row r="287" ht="15.75" customHeight="1">
      <c r="S287" s="5"/>
    </row>
    <row r="288" ht="15.75" customHeight="1">
      <c r="S288" s="5"/>
    </row>
    <row r="289" ht="15.75" customHeight="1">
      <c r="S289" s="5"/>
    </row>
    <row r="290" ht="15.75" customHeight="1">
      <c r="S290" s="5"/>
    </row>
    <row r="291" ht="15.75" customHeight="1">
      <c r="S291" s="5"/>
    </row>
    <row r="292" ht="15.75" customHeight="1">
      <c r="S292" s="5"/>
    </row>
    <row r="293" ht="15.75" customHeight="1">
      <c r="S293" s="5"/>
    </row>
    <row r="294" ht="15.75" customHeight="1">
      <c r="S294" s="5"/>
    </row>
    <row r="295" ht="15.75" customHeight="1">
      <c r="S295" s="5"/>
    </row>
    <row r="296" ht="15.75" customHeight="1">
      <c r="S296" s="5"/>
    </row>
    <row r="297" ht="15.75" customHeight="1">
      <c r="S297" s="5"/>
    </row>
    <row r="298" ht="15.75" customHeight="1">
      <c r="S298" s="5"/>
    </row>
    <row r="299" ht="15.75" customHeight="1">
      <c r="S299" s="5"/>
    </row>
    <row r="300" ht="15.75" customHeight="1">
      <c r="S300" s="5"/>
    </row>
    <row r="301" ht="15.75" customHeight="1">
      <c r="S301" s="5"/>
    </row>
    <row r="302" ht="15.75" customHeight="1">
      <c r="S302" s="5"/>
    </row>
    <row r="303" ht="15.75" customHeight="1">
      <c r="S303" s="5"/>
    </row>
    <row r="304" ht="15.75" customHeight="1">
      <c r="S304" s="5"/>
    </row>
    <row r="305" ht="15.75" customHeight="1">
      <c r="S305" s="5"/>
    </row>
    <row r="306" ht="15.75" customHeight="1">
      <c r="S306" s="5"/>
    </row>
    <row r="307" ht="15.75" customHeight="1">
      <c r="S307" s="5"/>
    </row>
    <row r="308" ht="15.75" customHeight="1">
      <c r="S308" s="5"/>
    </row>
    <row r="309" ht="15.75" customHeight="1">
      <c r="S309" s="5"/>
    </row>
    <row r="310" ht="15.75" customHeight="1">
      <c r="S310" s="5"/>
    </row>
    <row r="311" ht="15.75" customHeight="1">
      <c r="S311" s="5"/>
    </row>
    <row r="312" ht="15.75" customHeight="1">
      <c r="S312" s="5"/>
    </row>
    <row r="313" ht="15.75" customHeight="1">
      <c r="S313" s="5"/>
    </row>
    <row r="314" ht="15.75" customHeight="1">
      <c r="S314" s="5"/>
    </row>
    <row r="315" ht="15.75" customHeight="1">
      <c r="S315" s="5"/>
    </row>
    <row r="316" ht="15.75" customHeight="1">
      <c r="S316" s="5"/>
    </row>
    <row r="317" ht="15.75" customHeight="1">
      <c r="S317" s="5"/>
    </row>
    <row r="318" ht="15.75" customHeight="1">
      <c r="S318" s="5"/>
    </row>
    <row r="319" ht="15.75" customHeight="1">
      <c r="S319" s="5"/>
    </row>
    <row r="320" ht="15.75" customHeight="1">
      <c r="S320" s="5"/>
    </row>
    <row r="321" ht="15.75" customHeight="1">
      <c r="S321" s="5"/>
    </row>
    <row r="322" ht="15.75" customHeight="1">
      <c r="S322" s="5"/>
    </row>
    <row r="323" ht="15.75" customHeight="1">
      <c r="S323" s="5"/>
    </row>
    <row r="324" ht="15.75" customHeight="1">
      <c r="S324" s="5"/>
    </row>
    <row r="325" ht="15.75" customHeight="1">
      <c r="S325" s="5"/>
    </row>
    <row r="326" ht="15.75" customHeight="1">
      <c r="S326" s="5"/>
    </row>
    <row r="327" ht="15.75" customHeight="1">
      <c r="S327" s="5"/>
    </row>
    <row r="328" ht="15.75" customHeight="1">
      <c r="S328" s="5"/>
    </row>
    <row r="329" ht="15.75" customHeight="1">
      <c r="S329" s="5"/>
    </row>
    <row r="330" ht="15.75" customHeight="1">
      <c r="S330" s="5"/>
    </row>
    <row r="331" ht="15.75" customHeight="1">
      <c r="S331" s="5"/>
    </row>
    <row r="332" ht="15.75" customHeight="1">
      <c r="S332" s="5"/>
    </row>
    <row r="333" ht="15.75" customHeight="1">
      <c r="S333" s="5"/>
    </row>
    <row r="334" ht="15.75" customHeight="1">
      <c r="S334" s="5"/>
    </row>
    <row r="335" ht="15.75" customHeight="1">
      <c r="S335" s="5"/>
    </row>
    <row r="336" ht="15.75" customHeight="1">
      <c r="S336" s="5"/>
    </row>
    <row r="337" ht="15.75" customHeight="1">
      <c r="S337" s="5"/>
    </row>
    <row r="338" ht="15.75" customHeight="1">
      <c r="S338" s="5"/>
    </row>
    <row r="339" ht="15.75" customHeight="1">
      <c r="S339" s="5"/>
    </row>
    <row r="340" ht="15.75" customHeight="1">
      <c r="S340" s="5"/>
    </row>
    <row r="341" ht="15.75" customHeight="1">
      <c r="S341" s="5"/>
    </row>
    <row r="342" ht="15.75" customHeight="1">
      <c r="S342" s="5"/>
    </row>
    <row r="343" ht="15.75" customHeight="1">
      <c r="S343" s="5"/>
    </row>
    <row r="344" ht="15.75" customHeight="1">
      <c r="S344" s="5"/>
    </row>
    <row r="345" ht="15.75" customHeight="1">
      <c r="S345" s="5"/>
    </row>
    <row r="346" ht="15.75" customHeight="1">
      <c r="S346" s="5"/>
    </row>
    <row r="347" ht="15.75" customHeight="1">
      <c r="S347" s="5"/>
    </row>
    <row r="348" ht="15.75" customHeight="1">
      <c r="S348" s="5"/>
    </row>
    <row r="349" ht="15.75" customHeight="1">
      <c r="S349" s="5"/>
    </row>
    <row r="350" ht="15.75" customHeight="1">
      <c r="S350" s="5"/>
    </row>
    <row r="351" ht="15.75" customHeight="1">
      <c r="S351" s="5"/>
    </row>
    <row r="352" ht="15.75" customHeight="1">
      <c r="S352" s="5"/>
    </row>
    <row r="353" ht="15.75" customHeight="1">
      <c r="S353" s="5"/>
    </row>
    <row r="354" ht="15.75" customHeight="1">
      <c r="S354" s="5"/>
    </row>
    <row r="355" ht="15.75" customHeight="1">
      <c r="S355" s="5"/>
    </row>
    <row r="356" ht="15.75" customHeight="1">
      <c r="S356" s="5"/>
    </row>
    <row r="357" ht="15.75" customHeight="1">
      <c r="S357" s="5"/>
    </row>
    <row r="358" ht="15.75" customHeight="1">
      <c r="S358" s="5"/>
    </row>
    <row r="359" ht="15.75" customHeight="1">
      <c r="S359" s="5"/>
    </row>
    <row r="360" ht="15.75" customHeight="1">
      <c r="S360" s="5"/>
    </row>
    <row r="361" ht="15.75" customHeight="1">
      <c r="S361" s="5"/>
    </row>
    <row r="362" ht="15.75" customHeight="1">
      <c r="S362" s="5"/>
    </row>
    <row r="363" ht="15.75" customHeight="1">
      <c r="S363" s="5"/>
    </row>
    <row r="364" ht="15.75" customHeight="1">
      <c r="S364" s="5"/>
    </row>
    <row r="365" ht="15.75" customHeight="1">
      <c r="S365" s="5"/>
    </row>
    <row r="366" ht="15.75" customHeight="1">
      <c r="S366" s="5"/>
    </row>
    <row r="367" ht="15.75" customHeight="1">
      <c r="S367" s="5"/>
    </row>
    <row r="368" ht="15.75" customHeight="1">
      <c r="S368" s="5"/>
    </row>
    <row r="369" ht="15.75" customHeight="1">
      <c r="S369" s="5"/>
    </row>
    <row r="370" ht="15.75" customHeight="1">
      <c r="S370" s="5"/>
    </row>
    <row r="371" ht="15.75" customHeight="1">
      <c r="S371" s="5"/>
    </row>
    <row r="372" ht="15.75" customHeight="1">
      <c r="S372" s="5"/>
    </row>
    <row r="373" ht="15.75" customHeight="1">
      <c r="S373" s="5"/>
    </row>
    <row r="374" ht="15.75" customHeight="1">
      <c r="S374" s="5"/>
    </row>
    <row r="375" ht="15.75" customHeight="1">
      <c r="S375" s="5"/>
    </row>
    <row r="376" ht="15.75" customHeight="1">
      <c r="S376" s="5"/>
    </row>
    <row r="377" ht="15.75" customHeight="1">
      <c r="S377" s="5"/>
    </row>
    <row r="378" ht="15.75" customHeight="1">
      <c r="S378" s="5"/>
    </row>
    <row r="379" ht="15.75" customHeight="1">
      <c r="S379" s="5"/>
    </row>
    <row r="380" ht="15.75" customHeight="1">
      <c r="S380" s="5"/>
    </row>
    <row r="381" ht="15.75" customHeight="1">
      <c r="S381" s="5"/>
    </row>
    <row r="382" ht="15.75" customHeight="1">
      <c r="S382" s="5"/>
    </row>
    <row r="383" ht="15.75" customHeight="1">
      <c r="S383" s="5"/>
    </row>
    <row r="384" ht="15.75" customHeight="1">
      <c r="S384" s="5"/>
    </row>
    <row r="385" ht="15.75" customHeight="1">
      <c r="S385" s="5"/>
    </row>
    <row r="386" ht="15.75" customHeight="1">
      <c r="S386" s="5"/>
    </row>
    <row r="387" ht="15.75" customHeight="1">
      <c r="S387" s="5"/>
    </row>
    <row r="388" ht="15.75" customHeight="1">
      <c r="S388" s="5"/>
    </row>
    <row r="389" ht="15.75" customHeight="1">
      <c r="S389" s="5"/>
    </row>
    <row r="390" ht="15.75" customHeight="1">
      <c r="S390" s="5"/>
    </row>
    <row r="391" ht="15.75" customHeight="1">
      <c r="S391" s="5"/>
    </row>
    <row r="392" ht="15.75" customHeight="1">
      <c r="S392" s="5"/>
    </row>
    <row r="393" ht="15.75" customHeight="1">
      <c r="S393" s="5"/>
    </row>
    <row r="394" ht="15.75" customHeight="1">
      <c r="S394" s="5"/>
    </row>
    <row r="395" ht="15.75" customHeight="1">
      <c r="S395" s="5"/>
    </row>
    <row r="396" ht="15.75" customHeight="1">
      <c r="S396" s="5"/>
    </row>
    <row r="397" ht="15.75" customHeight="1">
      <c r="S397" s="5"/>
    </row>
    <row r="398" ht="15.75" customHeight="1">
      <c r="S398" s="5"/>
    </row>
    <row r="399" ht="15.75" customHeight="1">
      <c r="S399" s="5"/>
    </row>
    <row r="400" ht="15.75" customHeight="1">
      <c r="S400" s="5"/>
    </row>
    <row r="401" ht="15.75" customHeight="1">
      <c r="S401" s="5"/>
    </row>
    <row r="402" ht="15.75" customHeight="1">
      <c r="S402" s="5"/>
    </row>
    <row r="403" ht="15.75" customHeight="1">
      <c r="S403" s="5"/>
    </row>
    <row r="404" ht="15.75" customHeight="1">
      <c r="S404" s="5"/>
    </row>
    <row r="405" ht="15.75" customHeight="1">
      <c r="S405" s="5"/>
    </row>
    <row r="406" ht="15.75" customHeight="1">
      <c r="S406" s="5"/>
    </row>
    <row r="407" ht="15.75" customHeight="1">
      <c r="S407" s="5"/>
    </row>
    <row r="408" ht="15.75" customHeight="1">
      <c r="S408" s="5"/>
    </row>
    <row r="409" ht="15.75" customHeight="1">
      <c r="S409" s="5"/>
    </row>
    <row r="410" ht="15.75" customHeight="1">
      <c r="S410" s="5"/>
    </row>
    <row r="411" ht="15.75" customHeight="1">
      <c r="S411" s="5"/>
    </row>
    <row r="412" ht="15.75" customHeight="1">
      <c r="S412" s="5"/>
    </row>
    <row r="413" ht="15.75" customHeight="1">
      <c r="S413" s="5"/>
    </row>
    <row r="414" ht="15.75" customHeight="1">
      <c r="S414" s="5"/>
    </row>
    <row r="415" ht="15.75" customHeight="1">
      <c r="S415" s="5"/>
    </row>
    <row r="416" ht="15.75" customHeight="1">
      <c r="S416" s="5"/>
    </row>
    <row r="417" ht="15.75" customHeight="1">
      <c r="S417" s="5"/>
    </row>
    <row r="418" ht="15.75" customHeight="1">
      <c r="S418" s="5"/>
    </row>
    <row r="419" ht="15.75" customHeight="1">
      <c r="S419" s="5"/>
    </row>
    <row r="420" ht="15.75" customHeight="1">
      <c r="S420" s="5"/>
    </row>
    <row r="421" ht="15.75" customHeight="1">
      <c r="S421" s="5"/>
    </row>
    <row r="422" ht="15.75" customHeight="1">
      <c r="S422" s="5"/>
    </row>
    <row r="423" ht="15.75" customHeight="1">
      <c r="S423" s="5"/>
    </row>
    <row r="424" ht="15.75" customHeight="1">
      <c r="S424" s="5"/>
    </row>
    <row r="425" ht="15.75" customHeight="1">
      <c r="S425" s="5"/>
    </row>
    <row r="426" ht="15.75" customHeight="1">
      <c r="S426" s="5"/>
    </row>
    <row r="427" ht="15.75" customHeight="1">
      <c r="S427" s="5"/>
    </row>
    <row r="428" ht="15.75" customHeight="1">
      <c r="S428" s="5"/>
    </row>
    <row r="429" ht="15.75" customHeight="1">
      <c r="S429" s="5"/>
    </row>
    <row r="430" ht="15.75" customHeight="1">
      <c r="S430" s="5"/>
    </row>
    <row r="431" ht="15.75" customHeight="1">
      <c r="S431" s="5"/>
    </row>
    <row r="432" ht="15.75" customHeight="1">
      <c r="S432" s="5"/>
    </row>
    <row r="433" ht="15.75" customHeight="1">
      <c r="S433" s="5"/>
    </row>
    <row r="434" ht="15.75" customHeight="1">
      <c r="S434" s="5"/>
    </row>
    <row r="435" ht="15.75" customHeight="1">
      <c r="S435" s="5"/>
    </row>
    <row r="436" ht="15.75" customHeight="1">
      <c r="S436" s="5"/>
    </row>
    <row r="437" ht="15.75" customHeight="1">
      <c r="S437" s="5"/>
    </row>
    <row r="438" ht="15.75" customHeight="1">
      <c r="S438" s="5"/>
    </row>
    <row r="439" ht="15.75" customHeight="1">
      <c r="S439" s="5"/>
    </row>
    <row r="440" ht="15.75" customHeight="1">
      <c r="S440" s="5"/>
    </row>
    <row r="441" ht="15.75" customHeight="1">
      <c r="S441" s="5"/>
    </row>
    <row r="442" ht="15.75" customHeight="1">
      <c r="S442" s="5"/>
    </row>
    <row r="443" ht="15.75" customHeight="1">
      <c r="S443" s="5"/>
    </row>
    <row r="444" ht="15.75" customHeight="1">
      <c r="S444" s="5"/>
    </row>
    <row r="445" ht="15.75" customHeight="1">
      <c r="S445" s="5"/>
    </row>
    <row r="446" ht="15.75" customHeight="1">
      <c r="S446" s="5"/>
    </row>
    <row r="447" ht="15.75" customHeight="1">
      <c r="S447" s="5"/>
    </row>
    <row r="448" ht="15.75" customHeight="1">
      <c r="S448" s="5"/>
    </row>
    <row r="449" ht="15.75" customHeight="1">
      <c r="S449" s="5"/>
    </row>
    <row r="450" ht="15.75" customHeight="1">
      <c r="S450" s="5"/>
    </row>
    <row r="451" ht="15.75" customHeight="1">
      <c r="S451" s="5"/>
    </row>
    <row r="452" ht="15.75" customHeight="1">
      <c r="S452" s="5"/>
    </row>
    <row r="453" ht="15.75" customHeight="1">
      <c r="S453" s="5"/>
    </row>
    <row r="454" ht="15.75" customHeight="1">
      <c r="S454" s="5"/>
    </row>
    <row r="455" ht="15.75" customHeight="1">
      <c r="S455" s="5"/>
    </row>
    <row r="456" ht="15.75" customHeight="1">
      <c r="S456" s="5"/>
    </row>
    <row r="457" ht="15.75" customHeight="1">
      <c r="S457" s="5"/>
    </row>
    <row r="458" ht="15.75" customHeight="1">
      <c r="S458" s="5"/>
    </row>
    <row r="459" ht="15.75" customHeight="1">
      <c r="S459" s="5"/>
    </row>
    <row r="460" ht="15.75" customHeight="1">
      <c r="S460" s="5"/>
    </row>
    <row r="461" ht="15.75" customHeight="1">
      <c r="S461" s="5"/>
    </row>
    <row r="462" ht="15.75" customHeight="1">
      <c r="S462" s="5"/>
    </row>
    <row r="463" ht="15.75" customHeight="1">
      <c r="S463" s="5"/>
    </row>
    <row r="464" ht="15.75" customHeight="1">
      <c r="S464" s="5"/>
    </row>
    <row r="465" ht="15.75" customHeight="1">
      <c r="S465" s="5"/>
    </row>
    <row r="466" ht="15.75" customHeight="1">
      <c r="S466" s="5"/>
    </row>
    <row r="467" ht="15.75" customHeight="1">
      <c r="S467" s="5"/>
    </row>
    <row r="468" ht="15.75" customHeight="1">
      <c r="S468" s="5"/>
    </row>
    <row r="469" ht="15.75" customHeight="1">
      <c r="S469" s="5"/>
    </row>
    <row r="470" ht="15.75" customHeight="1">
      <c r="S470" s="5"/>
    </row>
    <row r="471" ht="15.75" customHeight="1">
      <c r="S471" s="5"/>
    </row>
    <row r="472" ht="15.75" customHeight="1">
      <c r="S472" s="5"/>
    </row>
    <row r="473" ht="15.75" customHeight="1">
      <c r="S473" s="5"/>
    </row>
    <row r="474" ht="15.75" customHeight="1">
      <c r="S474" s="5"/>
    </row>
    <row r="475" ht="15.75" customHeight="1">
      <c r="S475" s="5"/>
    </row>
    <row r="476" ht="15.75" customHeight="1">
      <c r="S476" s="5"/>
    </row>
    <row r="477" ht="15.75" customHeight="1">
      <c r="S477" s="5"/>
    </row>
    <row r="478" ht="15.75" customHeight="1">
      <c r="S478" s="5"/>
    </row>
    <row r="479" ht="15.75" customHeight="1">
      <c r="S479" s="5"/>
    </row>
    <row r="480" ht="15.75" customHeight="1">
      <c r="S480" s="5"/>
    </row>
    <row r="481" ht="15.75" customHeight="1">
      <c r="S481" s="5"/>
    </row>
    <row r="482" ht="15.75" customHeight="1">
      <c r="S482" s="5"/>
    </row>
    <row r="483" ht="15.75" customHeight="1">
      <c r="S483" s="5"/>
    </row>
    <row r="484" ht="15.75" customHeight="1">
      <c r="S484" s="5"/>
    </row>
    <row r="485" ht="15.75" customHeight="1">
      <c r="S485" s="5"/>
    </row>
    <row r="486" ht="15.75" customHeight="1">
      <c r="S486" s="5"/>
    </row>
    <row r="487" ht="15.75" customHeight="1">
      <c r="S487" s="5"/>
    </row>
    <row r="488" ht="15.75" customHeight="1">
      <c r="S488" s="5"/>
    </row>
    <row r="489" ht="15.75" customHeight="1">
      <c r="S489" s="5"/>
    </row>
    <row r="490" ht="15.75" customHeight="1">
      <c r="S490" s="5"/>
    </row>
    <row r="491" ht="15.75" customHeight="1">
      <c r="S491" s="5"/>
    </row>
    <row r="492" ht="15.75" customHeight="1">
      <c r="S492" s="5"/>
    </row>
    <row r="493" ht="15.75" customHeight="1">
      <c r="S493" s="5"/>
    </row>
    <row r="494" ht="15.75" customHeight="1">
      <c r="S494" s="5"/>
    </row>
    <row r="495" ht="15.75" customHeight="1">
      <c r="S495" s="5"/>
    </row>
    <row r="496" ht="15.75" customHeight="1">
      <c r="S496" s="5"/>
    </row>
    <row r="497" ht="15.75" customHeight="1">
      <c r="S497" s="5"/>
    </row>
    <row r="498" ht="15.75" customHeight="1">
      <c r="S498" s="5"/>
    </row>
    <row r="499" ht="15.75" customHeight="1">
      <c r="S499" s="5"/>
    </row>
    <row r="500" ht="15.75" customHeight="1">
      <c r="S500" s="5"/>
    </row>
    <row r="501" ht="15.75" customHeight="1">
      <c r="S501" s="5"/>
    </row>
    <row r="502" ht="15.75" customHeight="1">
      <c r="S502" s="5"/>
    </row>
    <row r="503" ht="15.75" customHeight="1">
      <c r="S503" s="5"/>
    </row>
    <row r="504" ht="15.75" customHeight="1">
      <c r="S504" s="5"/>
    </row>
    <row r="505" ht="15.75" customHeight="1">
      <c r="S505" s="5"/>
    </row>
    <row r="506" ht="15.75" customHeight="1">
      <c r="S506" s="5"/>
    </row>
    <row r="507" ht="15.75" customHeight="1">
      <c r="S507" s="5"/>
    </row>
    <row r="508" ht="15.75" customHeight="1">
      <c r="S508" s="5"/>
    </row>
    <row r="509" ht="15.75" customHeight="1">
      <c r="S509" s="5"/>
    </row>
    <row r="510" ht="15.75" customHeight="1">
      <c r="S510" s="5"/>
    </row>
    <row r="511" ht="15.75" customHeight="1">
      <c r="S511" s="5"/>
    </row>
    <row r="512" ht="15.75" customHeight="1">
      <c r="S512" s="5"/>
    </row>
    <row r="513" ht="15.75" customHeight="1">
      <c r="S513" s="5"/>
    </row>
    <row r="514" ht="15.75" customHeight="1">
      <c r="S514" s="5"/>
    </row>
    <row r="515" ht="15.75" customHeight="1">
      <c r="S515" s="5"/>
    </row>
    <row r="516" ht="15.75" customHeight="1">
      <c r="S516" s="5"/>
    </row>
    <row r="517" ht="15.75" customHeight="1">
      <c r="S517" s="5"/>
    </row>
    <row r="518" ht="15.75" customHeight="1">
      <c r="S518" s="5"/>
    </row>
    <row r="519" ht="15.75" customHeight="1">
      <c r="S519" s="5"/>
    </row>
    <row r="520" ht="15.75" customHeight="1">
      <c r="S520" s="5"/>
    </row>
    <row r="521" ht="15.75" customHeight="1">
      <c r="S521" s="5"/>
    </row>
    <row r="522" ht="15.75" customHeight="1">
      <c r="S522" s="5"/>
    </row>
    <row r="523" ht="15.75" customHeight="1">
      <c r="S523" s="5"/>
    </row>
    <row r="524" ht="15.75" customHeight="1">
      <c r="S524" s="5"/>
    </row>
    <row r="525" ht="15.75" customHeight="1">
      <c r="S525" s="5"/>
    </row>
    <row r="526" ht="15.75" customHeight="1">
      <c r="S526" s="5"/>
    </row>
    <row r="527" ht="15.75" customHeight="1">
      <c r="S527" s="5"/>
    </row>
    <row r="528" ht="15.75" customHeight="1">
      <c r="S528" s="5"/>
    </row>
    <row r="529" ht="15.75" customHeight="1">
      <c r="S529" s="5"/>
    </row>
    <row r="530" ht="15.75" customHeight="1">
      <c r="S530" s="5"/>
    </row>
    <row r="531" ht="15.75" customHeight="1">
      <c r="S531" s="5"/>
    </row>
    <row r="532" ht="15.75" customHeight="1">
      <c r="S532" s="5"/>
    </row>
    <row r="533" ht="15.75" customHeight="1">
      <c r="S533" s="5"/>
    </row>
    <row r="534" ht="15.75" customHeight="1">
      <c r="S534" s="5"/>
    </row>
    <row r="535" ht="15.75" customHeight="1">
      <c r="S535" s="5"/>
    </row>
    <row r="536" ht="15.75" customHeight="1">
      <c r="S536" s="5"/>
    </row>
    <row r="537" ht="15.75" customHeight="1">
      <c r="S537" s="5"/>
    </row>
    <row r="538" ht="15.75" customHeight="1">
      <c r="S538" s="5"/>
    </row>
    <row r="539" ht="15.75" customHeight="1">
      <c r="S539" s="5"/>
    </row>
    <row r="540" ht="15.75" customHeight="1">
      <c r="S540" s="5"/>
    </row>
    <row r="541" ht="15.75" customHeight="1">
      <c r="S541" s="5"/>
    </row>
    <row r="542" ht="15.75" customHeight="1">
      <c r="S542" s="5"/>
    </row>
    <row r="543" ht="15.75" customHeight="1">
      <c r="S543" s="5"/>
    </row>
    <row r="544" ht="15.75" customHeight="1">
      <c r="S544" s="5"/>
    </row>
    <row r="545" ht="15.75" customHeight="1">
      <c r="S545" s="5"/>
    </row>
    <row r="546" ht="15.75" customHeight="1">
      <c r="S546" s="5"/>
    </row>
    <row r="547" ht="15.75" customHeight="1">
      <c r="S547" s="5"/>
    </row>
    <row r="548" ht="15.75" customHeight="1">
      <c r="S548" s="5"/>
    </row>
    <row r="549" ht="15.75" customHeight="1">
      <c r="S549" s="5"/>
    </row>
    <row r="550" ht="15.75" customHeight="1">
      <c r="S550" s="5"/>
    </row>
    <row r="551" ht="15.75" customHeight="1">
      <c r="S551" s="5"/>
    </row>
    <row r="552" ht="15.75" customHeight="1">
      <c r="S552" s="5"/>
    </row>
    <row r="553" ht="15.75" customHeight="1">
      <c r="S553" s="5"/>
    </row>
    <row r="554" ht="15.75" customHeight="1">
      <c r="S554" s="5"/>
    </row>
    <row r="555" ht="15.75" customHeight="1">
      <c r="S555" s="5"/>
    </row>
    <row r="556" ht="15.75" customHeight="1">
      <c r="S556" s="5"/>
    </row>
    <row r="557" ht="15.75" customHeight="1">
      <c r="S557" s="5"/>
    </row>
    <row r="558" ht="15.75" customHeight="1">
      <c r="S558" s="5"/>
    </row>
    <row r="559" ht="15.75" customHeight="1">
      <c r="S559" s="5"/>
    </row>
    <row r="560" ht="15.75" customHeight="1">
      <c r="S560" s="5"/>
    </row>
    <row r="561" ht="15.75" customHeight="1">
      <c r="S561" s="5"/>
    </row>
    <row r="562" ht="15.75" customHeight="1">
      <c r="S562" s="5"/>
    </row>
    <row r="563" ht="15.75" customHeight="1">
      <c r="S563" s="5"/>
    </row>
    <row r="564" ht="15.75" customHeight="1">
      <c r="S564" s="5"/>
    </row>
    <row r="565" ht="15.75" customHeight="1">
      <c r="S565" s="5"/>
    </row>
    <row r="566" ht="15.75" customHeight="1">
      <c r="S566" s="5"/>
    </row>
    <row r="567" ht="15.75" customHeight="1">
      <c r="S567" s="5"/>
    </row>
    <row r="568" ht="15.75" customHeight="1">
      <c r="S568" s="5"/>
    </row>
    <row r="569" ht="15.75" customHeight="1">
      <c r="S569" s="5"/>
    </row>
    <row r="570" ht="15.75" customHeight="1">
      <c r="S570" s="5"/>
    </row>
    <row r="571" ht="15.75" customHeight="1">
      <c r="S571" s="5"/>
    </row>
    <row r="572" ht="15.75" customHeight="1">
      <c r="S572" s="5"/>
    </row>
    <row r="573" ht="15.75" customHeight="1">
      <c r="S573" s="5"/>
    </row>
    <row r="574" ht="15.75" customHeight="1">
      <c r="S574" s="5"/>
    </row>
    <row r="575" ht="15.75" customHeight="1">
      <c r="S575" s="5"/>
    </row>
    <row r="576" ht="15.75" customHeight="1">
      <c r="S576" s="5"/>
    </row>
    <row r="577" ht="15.75" customHeight="1">
      <c r="S577" s="5"/>
    </row>
    <row r="578" ht="15.75" customHeight="1">
      <c r="S578" s="5"/>
    </row>
    <row r="579" ht="15.75" customHeight="1">
      <c r="S579" s="5"/>
    </row>
    <row r="580" ht="15.75" customHeight="1">
      <c r="S580" s="5"/>
    </row>
    <row r="581" ht="15.75" customHeight="1">
      <c r="S581" s="5"/>
    </row>
    <row r="582" ht="15.75" customHeight="1">
      <c r="S582" s="5"/>
    </row>
    <row r="583" ht="15.75" customHeight="1">
      <c r="S583" s="5"/>
    </row>
    <row r="584" ht="15.75" customHeight="1">
      <c r="S584" s="5"/>
    </row>
    <row r="585" ht="15.75" customHeight="1">
      <c r="S585" s="5"/>
    </row>
    <row r="586" ht="15.75" customHeight="1">
      <c r="S586" s="5"/>
    </row>
    <row r="587" ht="15.75" customHeight="1">
      <c r="S587" s="5"/>
    </row>
    <row r="588" ht="15.75" customHeight="1">
      <c r="S588" s="5"/>
    </row>
    <row r="589" ht="15.75" customHeight="1">
      <c r="S589" s="5"/>
    </row>
    <row r="590" ht="15.75" customHeight="1">
      <c r="S590" s="5"/>
    </row>
    <row r="591" ht="15.75" customHeight="1">
      <c r="S591" s="5"/>
    </row>
    <row r="592" ht="15.75" customHeight="1">
      <c r="S592" s="5"/>
    </row>
    <row r="593" ht="15.75" customHeight="1">
      <c r="S593" s="5"/>
    </row>
    <row r="594" ht="15.75" customHeight="1">
      <c r="S594" s="5"/>
    </row>
    <row r="595" ht="15.75" customHeight="1">
      <c r="S595" s="5"/>
    </row>
    <row r="596" ht="15.75" customHeight="1">
      <c r="S596" s="5"/>
    </row>
    <row r="597" ht="15.75" customHeight="1">
      <c r="S597" s="5"/>
    </row>
    <row r="598" ht="15.75" customHeight="1">
      <c r="S598" s="5"/>
    </row>
    <row r="599" ht="15.75" customHeight="1">
      <c r="S599" s="5"/>
    </row>
    <row r="600" ht="15.75" customHeight="1">
      <c r="S600" s="5"/>
    </row>
    <row r="601" ht="15.75" customHeight="1">
      <c r="S601" s="5"/>
    </row>
    <row r="602" ht="15.75" customHeight="1">
      <c r="S602" s="5"/>
    </row>
    <row r="603" ht="15.75" customHeight="1">
      <c r="S603" s="5"/>
    </row>
    <row r="604" ht="15.75" customHeight="1">
      <c r="S604" s="5"/>
    </row>
    <row r="605" ht="15.75" customHeight="1">
      <c r="S605" s="5"/>
    </row>
    <row r="606" ht="15.75" customHeight="1">
      <c r="S606" s="5"/>
    </row>
    <row r="607" ht="15.75" customHeight="1">
      <c r="S607" s="5"/>
    </row>
    <row r="608" ht="15.75" customHeight="1">
      <c r="S608" s="5"/>
    </row>
    <row r="609" ht="15.75" customHeight="1">
      <c r="S609" s="5"/>
    </row>
    <row r="610" ht="15.75" customHeight="1">
      <c r="S610" s="5"/>
    </row>
    <row r="611" ht="15.75" customHeight="1">
      <c r="S611" s="5"/>
    </row>
    <row r="612" ht="15.75" customHeight="1">
      <c r="S612" s="5"/>
    </row>
    <row r="613" ht="15.75" customHeight="1">
      <c r="S613" s="5"/>
    </row>
    <row r="614" ht="15.75" customHeight="1">
      <c r="S614" s="5"/>
    </row>
    <row r="615" ht="15.75" customHeight="1">
      <c r="S615" s="5"/>
    </row>
    <row r="616" ht="15.75" customHeight="1">
      <c r="S616" s="5"/>
    </row>
    <row r="617" ht="15.75" customHeight="1">
      <c r="S617" s="5"/>
    </row>
    <row r="618" ht="15.75" customHeight="1">
      <c r="S618" s="5"/>
    </row>
    <row r="619" ht="15.75" customHeight="1">
      <c r="S619" s="5"/>
    </row>
    <row r="620" ht="15.75" customHeight="1">
      <c r="S620" s="5"/>
    </row>
    <row r="621" ht="15.75" customHeight="1">
      <c r="S621" s="5"/>
    </row>
    <row r="622" ht="15.75" customHeight="1">
      <c r="S622" s="5"/>
    </row>
    <row r="623" ht="15.75" customHeight="1">
      <c r="S623" s="5"/>
    </row>
    <row r="624" ht="15.75" customHeight="1">
      <c r="S624" s="5"/>
    </row>
    <row r="625" ht="15.75" customHeight="1">
      <c r="S625" s="5"/>
    </row>
    <row r="626" ht="15.75" customHeight="1">
      <c r="S626" s="5"/>
    </row>
    <row r="627" ht="15.75" customHeight="1">
      <c r="S627" s="5"/>
    </row>
    <row r="628" ht="15.75" customHeight="1">
      <c r="S628" s="5"/>
    </row>
    <row r="629" ht="15.75" customHeight="1">
      <c r="S629" s="5"/>
    </row>
    <row r="630" ht="15.75" customHeight="1">
      <c r="S630" s="5"/>
    </row>
    <row r="631" ht="15.75" customHeight="1">
      <c r="S631" s="5"/>
    </row>
    <row r="632" ht="15.75" customHeight="1">
      <c r="S632" s="5"/>
    </row>
    <row r="633" ht="15.75" customHeight="1">
      <c r="S633" s="5"/>
    </row>
    <row r="634" ht="15.75" customHeight="1">
      <c r="S634" s="5"/>
    </row>
    <row r="635" ht="15.75" customHeight="1">
      <c r="S635" s="5"/>
    </row>
    <row r="636" ht="15.75" customHeight="1">
      <c r="S636" s="5"/>
    </row>
    <row r="637" ht="15.75" customHeight="1">
      <c r="S637" s="5"/>
    </row>
    <row r="638" ht="15.75" customHeight="1">
      <c r="S638" s="5"/>
    </row>
    <row r="639" ht="15.75" customHeight="1">
      <c r="S639" s="5"/>
    </row>
    <row r="640" ht="15.75" customHeight="1">
      <c r="S640" s="5"/>
    </row>
    <row r="641" ht="15.75" customHeight="1">
      <c r="S641" s="5"/>
    </row>
    <row r="642" ht="15.75" customHeight="1">
      <c r="S642" s="5"/>
    </row>
    <row r="643" ht="15.75" customHeight="1">
      <c r="S643" s="5"/>
    </row>
    <row r="644" ht="15.75" customHeight="1">
      <c r="S644" s="5"/>
    </row>
    <row r="645" ht="15.75" customHeight="1">
      <c r="S645" s="5"/>
    </row>
    <row r="646" ht="15.75" customHeight="1">
      <c r="S646" s="5"/>
    </row>
    <row r="647" ht="15.75" customHeight="1">
      <c r="S647" s="5"/>
    </row>
    <row r="648" ht="15.75" customHeight="1">
      <c r="S648" s="5"/>
    </row>
    <row r="649" ht="15.75" customHeight="1">
      <c r="S649" s="5"/>
    </row>
    <row r="650" ht="15.75" customHeight="1">
      <c r="S650" s="5"/>
    </row>
    <row r="651" ht="15.75" customHeight="1">
      <c r="S651" s="5"/>
    </row>
    <row r="652" ht="15.75" customHeight="1">
      <c r="S652" s="5"/>
    </row>
    <row r="653" ht="15.75" customHeight="1">
      <c r="S653" s="5"/>
    </row>
    <row r="654" ht="15.75" customHeight="1">
      <c r="S654" s="5"/>
    </row>
    <row r="655" ht="15.75" customHeight="1">
      <c r="S655" s="5"/>
    </row>
    <row r="656" ht="15.75" customHeight="1">
      <c r="S656" s="5"/>
    </row>
    <row r="657" ht="15.75" customHeight="1">
      <c r="S657" s="5"/>
    </row>
    <row r="658" ht="15.75" customHeight="1">
      <c r="S658" s="5"/>
    </row>
    <row r="659" ht="15.75" customHeight="1">
      <c r="S659" s="5"/>
    </row>
    <row r="660" ht="15.75" customHeight="1">
      <c r="S660" s="5"/>
    </row>
    <row r="661" ht="15.75" customHeight="1">
      <c r="S661" s="5"/>
    </row>
    <row r="662" ht="15.75" customHeight="1">
      <c r="S662" s="5"/>
    </row>
    <row r="663" ht="15.75" customHeight="1">
      <c r="S663" s="5"/>
    </row>
    <row r="664" ht="15.75" customHeight="1">
      <c r="S664" s="5"/>
    </row>
    <row r="665" ht="15.75" customHeight="1">
      <c r="S665" s="5"/>
    </row>
    <row r="666" ht="15.75" customHeight="1">
      <c r="S666" s="5"/>
    </row>
    <row r="667" ht="15.75" customHeight="1">
      <c r="S667" s="5"/>
    </row>
    <row r="668" ht="15.75" customHeight="1">
      <c r="S668" s="5"/>
    </row>
    <row r="669" ht="15.75" customHeight="1">
      <c r="S669" s="5"/>
    </row>
    <row r="670" ht="15.75" customHeight="1">
      <c r="S670" s="5"/>
    </row>
    <row r="671" ht="15.75" customHeight="1">
      <c r="S671" s="5"/>
    </row>
    <row r="672" ht="15.75" customHeight="1">
      <c r="S672" s="5"/>
    </row>
    <row r="673" ht="15.75" customHeight="1">
      <c r="S673" s="5"/>
    </row>
    <row r="674" ht="15.75" customHeight="1">
      <c r="S674" s="5"/>
    </row>
    <row r="675" ht="15.75" customHeight="1">
      <c r="S675" s="5"/>
    </row>
    <row r="676" ht="15.75" customHeight="1">
      <c r="S676" s="5"/>
    </row>
    <row r="677" ht="15.75" customHeight="1">
      <c r="S677" s="5"/>
    </row>
    <row r="678" ht="15.75" customHeight="1">
      <c r="S678" s="5"/>
    </row>
    <row r="679" ht="15.75" customHeight="1">
      <c r="S679" s="5"/>
    </row>
    <row r="680" ht="15.75" customHeight="1">
      <c r="S680" s="5"/>
    </row>
    <row r="681" ht="15.75" customHeight="1">
      <c r="S681" s="5"/>
    </row>
    <row r="682" ht="15.75" customHeight="1">
      <c r="S682" s="5"/>
    </row>
    <row r="683" ht="15.75" customHeight="1">
      <c r="S683" s="5"/>
    </row>
    <row r="684" ht="15.75" customHeight="1">
      <c r="S684" s="5"/>
    </row>
    <row r="685" ht="15.75" customHeight="1">
      <c r="S685" s="5"/>
    </row>
    <row r="686" ht="15.75" customHeight="1">
      <c r="S686" s="5"/>
    </row>
    <row r="687" ht="15.75" customHeight="1">
      <c r="S687" s="5"/>
    </row>
    <row r="688" ht="15.75" customHeight="1">
      <c r="S688" s="5"/>
    </row>
    <row r="689" ht="15.75" customHeight="1">
      <c r="S689" s="5"/>
    </row>
    <row r="690" ht="15.75" customHeight="1">
      <c r="S690" s="5"/>
    </row>
    <row r="691" ht="15.75" customHeight="1">
      <c r="S691" s="5"/>
    </row>
    <row r="692" ht="15.75" customHeight="1">
      <c r="S692" s="5"/>
    </row>
    <row r="693" ht="15.75" customHeight="1">
      <c r="S693" s="5"/>
    </row>
    <row r="694" ht="15.75" customHeight="1">
      <c r="S694" s="5"/>
    </row>
    <row r="695" ht="15.75" customHeight="1">
      <c r="S695" s="5"/>
    </row>
    <row r="696" ht="15.75" customHeight="1">
      <c r="S696" s="5"/>
    </row>
    <row r="697" ht="15.75" customHeight="1">
      <c r="S697" s="5"/>
    </row>
    <row r="698" ht="15.75" customHeight="1">
      <c r="S698" s="5"/>
    </row>
    <row r="699" ht="15.75" customHeight="1">
      <c r="S699" s="5"/>
    </row>
    <row r="700" ht="15.75" customHeight="1">
      <c r="S700" s="5"/>
    </row>
    <row r="701" ht="15.75" customHeight="1">
      <c r="S701" s="5"/>
    </row>
    <row r="702" ht="15.75" customHeight="1">
      <c r="S702" s="5"/>
    </row>
    <row r="703" ht="15.75" customHeight="1">
      <c r="S703" s="5"/>
    </row>
    <row r="704" ht="15.75" customHeight="1">
      <c r="S704" s="5"/>
    </row>
    <row r="705" ht="15.75" customHeight="1">
      <c r="S705" s="5"/>
    </row>
    <row r="706" ht="15.75" customHeight="1">
      <c r="S706" s="5"/>
    </row>
    <row r="707" ht="15.75" customHeight="1">
      <c r="S707" s="5"/>
    </row>
    <row r="708" ht="15.75" customHeight="1">
      <c r="S708" s="5"/>
    </row>
    <row r="709" ht="15.75" customHeight="1">
      <c r="S709" s="5"/>
    </row>
    <row r="710" ht="15.75" customHeight="1">
      <c r="S710" s="5"/>
    </row>
    <row r="711" ht="15.75" customHeight="1">
      <c r="S711" s="5"/>
    </row>
    <row r="712" ht="15.75" customHeight="1">
      <c r="S712" s="5"/>
    </row>
    <row r="713" ht="15.75" customHeight="1">
      <c r="S713" s="5"/>
    </row>
    <row r="714" ht="15.75" customHeight="1">
      <c r="S714" s="5"/>
    </row>
    <row r="715" ht="15.75" customHeight="1">
      <c r="S715" s="5"/>
    </row>
    <row r="716" ht="15.75" customHeight="1">
      <c r="S716" s="5"/>
    </row>
    <row r="717" ht="15.75" customHeight="1">
      <c r="S717" s="5"/>
    </row>
    <row r="718" ht="15.75" customHeight="1">
      <c r="S718" s="5"/>
    </row>
    <row r="719" ht="15.75" customHeight="1">
      <c r="S719" s="5"/>
    </row>
    <row r="720" ht="15.75" customHeight="1">
      <c r="S720" s="5"/>
    </row>
    <row r="721" ht="15.75" customHeight="1">
      <c r="S721" s="5"/>
    </row>
    <row r="722" ht="15.75" customHeight="1">
      <c r="S722" s="5"/>
    </row>
    <row r="723" ht="15.75" customHeight="1">
      <c r="S723" s="5"/>
    </row>
    <row r="724" ht="15.75" customHeight="1">
      <c r="S724" s="5"/>
    </row>
    <row r="725" ht="15.75" customHeight="1">
      <c r="S725" s="5"/>
    </row>
    <row r="726" ht="15.75" customHeight="1">
      <c r="S726" s="5"/>
    </row>
    <row r="727" ht="15.75" customHeight="1">
      <c r="S727" s="5"/>
    </row>
    <row r="728" ht="15.75" customHeight="1">
      <c r="S728" s="5"/>
    </row>
    <row r="729" ht="15.75" customHeight="1">
      <c r="S729" s="5"/>
    </row>
    <row r="730" ht="15.75" customHeight="1">
      <c r="S730" s="5"/>
    </row>
    <row r="731" ht="15.75" customHeight="1">
      <c r="S731" s="5"/>
    </row>
    <row r="732" ht="15.75" customHeight="1">
      <c r="S732" s="5"/>
    </row>
    <row r="733" ht="15.75" customHeight="1">
      <c r="S733" s="5"/>
    </row>
    <row r="734" ht="15.75" customHeight="1">
      <c r="S734" s="5"/>
    </row>
    <row r="735" ht="15.75" customHeight="1">
      <c r="S735" s="5"/>
    </row>
    <row r="736" ht="15.75" customHeight="1">
      <c r="S736" s="5"/>
    </row>
    <row r="737" ht="15.75" customHeight="1">
      <c r="S737" s="5"/>
    </row>
    <row r="738" ht="15.75" customHeight="1">
      <c r="S738" s="5"/>
    </row>
    <row r="739" ht="15.75" customHeight="1">
      <c r="S739" s="5"/>
    </row>
    <row r="740" ht="15.75" customHeight="1">
      <c r="S740" s="5"/>
    </row>
    <row r="741" ht="15.75" customHeight="1">
      <c r="S741" s="5"/>
    </row>
    <row r="742" ht="15.75" customHeight="1">
      <c r="S742" s="5"/>
    </row>
    <row r="743" ht="15.75" customHeight="1">
      <c r="S743" s="5"/>
    </row>
    <row r="744" ht="15.75" customHeight="1">
      <c r="S744" s="5"/>
    </row>
    <row r="745" ht="15.75" customHeight="1">
      <c r="S745" s="5"/>
    </row>
    <row r="746" ht="15.75" customHeight="1">
      <c r="S746" s="5"/>
    </row>
    <row r="747" ht="15.75" customHeight="1">
      <c r="S747" s="5"/>
    </row>
    <row r="748" ht="15.75" customHeight="1">
      <c r="S748" s="5"/>
    </row>
    <row r="749" ht="15.75" customHeight="1">
      <c r="S749" s="5"/>
    </row>
    <row r="750" ht="15.75" customHeight="1">
      <c r="S750" s="5"/>
    </row>
    <row r="751" ht="15.75" customHeight="1">
      <c r="S751" s="5"/>
    </row>
    <row r="752" ht="15.75" customHeight="1">
      <c r="S752" s="5"/>
    </row>
    <row r="753" ht="15.75" customHeight="1">
      <c r="S753" s="5"/>
    </row>
    <row r="754" ht="15.75" customHeight="1">
      <c r="S754" s="5"/>
    </row>
    <row r="755" ht="15.75" customHeight="1">
      <c r="S755" s="5"/>
    </row>
    <row r="756" ht="15.75" customHeight="1">
      <c r="S756" s="5"/>
    </row>
    <row r="757" ht="15.75" customHeight="1">
      <c r="S757" s="5"/>
    </row>
    <row r="758" ht="15.75" customHeight="1">
      <c r="S758" s="5"/>
    </row>
    <row r="759" ht="15.75" customHeight="1">
      <c r="S759" s="5"/>
    </row>
    <row r="760" ht="15.75" customHeight="1">
      <c r="S760" s="5"/>
    </row>
    <row r="761" ht="15.75" customHeight="1">
      <c r="S761" s="5"/>
    </row>
    <row r="762" ht="15.75" customHeight="1">
      <c r="S762" s="5"/>
    </row>
    <row r="763" ht="15.75" customHeight="1">
      <c r="S763" s="5"/>
    </row>
    <row r="764" ht="15.75" customHeight="1">
      <c r="S764" s="5"/>
    </row>
    <row r="765" ht="15.75" customHeight="1">
      <c r="S765" s="5"/>
    </row>
    <row r="766" ht="15.75" customHeight="1">
      <c r="S766" s="5"/>
    </row>
    <row r="767" ht="15.75" customHeight="1">
      <c r="S767" s="5"/>
    </row>
    <row r="768" ht="15.75" customHeight="1">
      <c r="S768" s="5"/>
    </row>
    <row r="769" ht="15.75" customHeight="1">
      <c r="S769" s="5"/>
    </row>
    <row r="770" ht="15.75" customHeight="1">
      <c r="S770" s="5"/>
    </row>
    <row r="771" ht="15.75" customHeight="1">
      <c r="S771" s="5"/>
    </row>
    <row r="772" ht="15.75" customHeight="1">
      <c r="S772" s="5"/>
    </row>
    <row r="773" ht="15.75" customHeight="1">
      <c r="S773" s="5"/>
    </row>
    <row r="774" ht="15.75" customHeight="1">
      <c r="S774" s="5"/>
    </row>
    <row r="775" ht="15.75" customHeight="1">
      <c r="S775" s="5"/>
    </row>
    <row r="776" ht="15.75" customHeight="1">
      <c r="S776" s="5"/>
    </row>
    <row r="777" ht="15.75" customHeight="1">
      <c r="S777" s="5"/>
    </row>
    <row r="778" ht="15.75" customHeight="1">
      <c r="S778" s="5"/>
    </row>
    <row r="779" ht="15.75" customHeight="1">
      <c r="S779" s="5"/>
    </row>
    <row r="780" ht="15.75" customHeight="1">
      <c r="S780" s="5"/>
    </row>
    <row r="781" ht="15.75" customHeight="1">
      <c r="S781" s="5"/>
    </row>
    <row r="782" ht="15.75" customHeight="1">
      <c r="S782" s="5"/>
    </row>
    <row r="783" ht="15.75" customHeight="1">
      <c r="S783" s="5"/>
    </row>
    <row r="784" ht="15.75" customHeight="1">
      <c r="S784" s="5"/>
    </row>
    <row r="785" ht="15.75" customHeight="1">
      <c r="S785" s="5"/>
    </row>
    <row r="786" ht="15.75" customHeight="1">
      <c r="S786" s="5"/>
    </row>
    <row r="787" ht="15.75" customHeight="1">
      <c r="S787" s="5"/>
    </row>
    <row r="788" ht="15.75" customHeight="1">
      <c r="S788" s="5"/>
    </row>
    <row r="789" ht="15.75" customHeight="1">
      <c r="S789" s="5"/>
    </row>
    <row r="790" ht="15.75" customHeight="1">
      <c r="S790" s="5"/>
    </row>
    <row r="791" ht="15.75" customHeight="1">
      <c r="S791" s="5"/>
    </row>
    <row r="792" ht="15.75" customHeight="1">
      <c r="S792" s="5"/>
    </row>
    <row r="793" ht="15.75" customHeight="1">
      <c r="S793" s="5"/>
    </row>
    <row r="794" ht="15.75" customHeight="1">
      <c r="S794" s="5"/>
    </row>
    <row r="795" ht="15.75" customHeight="1">
      <c r="S795" s="5"/>
    </row>
    <row r="796" ht="15.75" customHeight="1">
      <c r="S796" s="5"/>
    </row>
    <row r="797" ht="15.75" customHeight="1">
      <c r="S797" s="5"/>
    </row>
    <row r="798" ht="15.75" customHeight="1">
      <c r="S798" s="5"/>
    </row>
    <row r="799" ht="15.75" customHeight="1">
      <c r="S799" s="5"/>
    </row>
    <row r="800" ht="15.75" customHeight="1">
      <c r="S800" s="5"/>
    </row>
    <row r="801" ht="15.75" customHeight="1">
      <c r="S801" s="5"/>
    </row>
    <row r="802" ht="15.75" customHeight="1">
      <c r="S802" s="5"/>
    </row>
    <row r="803" ht="15.75" customHeight="1">
      <c r="S803" s="5"/>
    </row>
    <row r="804" ht="15.75" customHeight="1">
      <c r="S804" s="5"/>
    </row>
    <row r="805" ht="15.75" customHeight="1">
      <c r="S805" s="5"/>
    </row>
    <row r="806" ht="15.75" customHeight="1">
      <c r="S806" s="5"/>
    </row>
    <row r="807" ht="15.75" customHeight="1">
      <c r="S807" s="5"/>
    </row>
    <row r="808" ht="15.75" customHeight="1">
      <c r="S808" s="5"/>
    </row>
    <row r="809" ht="15.75" customHeight="1">
      <c r="S809" s="5"/>
    </row>
    <row r="810" ht="15.75" customHeight="1">
      <c r="S810" s="5"/>
    </row>
    <row r="811" ht="15.75" customHeight="1">
      <c r="S811" s="5"/>
    </row>
    <row r="812" ht="15.75" customHeight="1">
      <c r="S812" s="5"/>
    </row>
    <row r="813" ht="15.75" customHeight="1">
      <c r="S813" s="5"/>
    </row>
    <row r="814" ht="15.75" customHeight="1">
      <c r="S814" s="5"/>
    </row>
    <row r="815" ht="15.75" customHeight="1">
      <c r="S815" s="5"/>
    </row>
    <row r="816" ht="15.75" customHeight="1">
      <c r="S816" s="5"/>
    </row>
    <row r="817" ht="15.75" customHeight="1">
      <c r="S817" s="5"/>
    </row>
    <row r="818" ht="15.75" customHeight="1">
      <c r="S818" s="5"/>
    </row>
    <row r="819" ht="15.75" customHeight="1">
      <c r="S819" s="5"/>
    </row>
    <row r="820" ht="15.75" customHeight="1">
      <c r="S820" s="5"/>
    </row>
    <row r="821" ht="15.75" customHeight="1">
      <c r="S821" s="5"/>
    </row>
    <row r="822" ht="15.75" customHeight="1">
      <c r="S822" s="5"/>
    </row>
    <row r="823" ht="15.75" customHeight="1">
      <c r="S823" s="5"/>
    </row>
    <row r="824" ht="15.75" customHeight="1">
      <c r="S824" s="5"/>
    </row>
    <row r="825" ht="15.75" customHeight="1">
      <c r="S825" s="5"/>
    </row>
    <row r="826" ht="15.75" customHeight="1">
      <c r="S826" s="5"/>
    </row>
    <row r="827" ht="15.75" customHeight="1">
      <c r="S827" s="5"/>
    </row>
    <row r="828" ht="15.75" customHeight="1">
      <c r="S828" s="5"/>
    </row>
    <row r="829" ht="15.75" customHeight="1">
      <c r="S829" s="5"/>
    </row>
    <row r="830" ht="15.75" customHeight="1">
      <c r="S830" s="5"/>
    </row>
    <row r="831" ht="15.75" customHeight="1">
      <c r="S831" s="5"/>
    </row>
    <row r="832" ht="15.75" customHeight="1">
      <c r="S832" s="5"/>
    </row>
    <row r="833" ht="15.75" customHeight="1">
      <c r="S833" s="5"/>
    </row>
    <row r="834" ht="15.75" customHeight="1">
      <c r="S834" s="5"/>
    </row>
    <row r="835" ht="15.75" customHeight="1">
      <c r="S835" s="5"/>
    </row>
    <row r="836" ht="15.75" customHeight="1">
      <c r="S836" s="5"/>
    </row>
    <row r="837" ht="15.75" customHeight="1">
      <c r="S837" s="5"/>
    </row>
    <row r="838" ht="15.75" customHeight="1">
      <c r="S838" s="5"/>
    </row>
    <row r="839" ht="15.75" customHeight="1">
      <c r="S839" s="5"/>
    </row>
    <row r="840" ht="15.75" customHeight="1">
      <c r="S840" s="5"/>
    </row>
    <row r="841" ht="15.75" customHeight="1">
      <c r="S841" s="5"/>
    </row>
    <row r="842" ht="15.75" customHeight="1">
      <c r="S842" s="5"/>
    </row>
    <row r="843" ht="15.75" customHeight="1">
      <c r="S843" s="5"/>
    </row>
    <row r="844" ht="15.75" customHeight="1">
      <c r="S844" s="5"/>
    </row>
    <row r="845" ht="15.75" customHeight="1">
      <c r="S845" s="5"/>
    </row>
    <row r="846" ht="15.75" customHeight="1">
      <c r="S846" s="5"/>
    </row>
    <row r="847" ht="15.75" customHeight="1">
      <c r="S847" s="5"/>
    </row>
    <row r="848" ht="15.75" customHeight="1">
      <c r="S848" s="5"/>
    </row>
    <row r="849" ht="15.75" customHeight="1">
      <c r="S849" s="5"/>
    </row>
    <row r="850" ht="15.75" customHeight="1">
      <c r="S850" s="5"/>
    </row>
    <row r="851" ht="15.75" customHeight="1">
      <c r="S851" s="5"/>
    </row>
    <row r="852" ht="15.75" customHeight="1">
      <c r="S852" s="5"/>
    </row>
    <row r="853" ht="15.75" customHeight="1">
      <c r="S853" s="5"/>
    </row>
    <row r="854" ht="15.75" customHeight="1">
      <c r="S854" s="5"/>
    </row>
    <row r="855" ht="15.75" customHeight="1">
      <c r="S855" s="5"/>
    </row>
    <row r="856" ht="15.75" customHeight="1">
      <c r="S856" s="5"/>
    </row>
    <row r="857" ht="15.75" customHeight="1">
      <c r="S857" s="5"/>
    </row>
    <row r="858" ht="15.75" customHeight="1">
      <c r="S858" s="5"/>
    </row>
    <row r="859" ht="15.75" customHeight="1">
      <c r="S859" s="5"/>
    </row>
    <row r="860" ht="15.75" customHeight="1">
      <c r="S860" s="5"/>
    </row>
    <row r="861" ht="15.75" customHeight="1">
      <c r="S861" s="5"/>
    </row>
    <row r="862" ht="15.75" customHeight="1">
      <c r="S862" s="5"/>
    </row>
    <row r="863" ht="15.75" customHeight="1">
      <c r="S863" s="5"/>
    </row>
    <row r="864" ht="15.75" customHeight="1">
      <c r="S864" s="5"/>
    </row>
    <row r="865" ht="15.75" customHeight="1">
      <c r="S865" s="5"/>
    </row>
    <row r="866" ht="15.75" customHeight="1">
      <c r="S866" s="5"/>
    </row>
    <row r="867" ht="15.75" customHeight="1">
      <c r="S867" s="5"/>
    </row>
    <row r="868" ht="15.75" customHeight="1">
      <c r="S868" s="5"/>
    </row>
    <row r="869" ht="15.75" customHeight="1">
      <c r="S869" s="5"/>
    </row>
    <row r="870" ht="15.75" customHeight="1">
      <c r="S870" s="5"/>
    </row>
    <row r="871" ht="15.75" customHeight="1">
      <c r="S871" s="5"/>
    </row>
    <row r="872" ht="15.75" customHeight="1">
      <c r="S872" s="5"/>
    </row>
    <row r="873" ht="15.75" customHeight="1">
      <c r="S873" s="5"/>
    </row>
    <row r="874" ht="15.75" customHeight="1">
      <c r="S874" s="5"/>
    </row>
    <row r="875" ht="15.75" customHeight="1">
      <c r="S875" s="5"/>
    </row>
    <row r="876" ht="15.75" customHeight="1">
      <c r="S876" s="5"/>
    </row>
    <row r="877" ht="15.75" customHeight="1">
      <c r="S877" s="5"/>
    </row>
    <row r="878" ht="15.75" customHeight="1">
      <c r="S878" s="5"/>
    </row>
    <row r="879" ht="15.75" customHeight="1">
      <c r="S879" s="5"/>
    </row>
    <row r="880" ht="15.75" customHeight="1">
      <c r="S880" s="5"/>
    </row>
    <row r="881" ht="15.75" customHeight="1">
      <c r="S881" s="5"/>
    </row>
    <row r="882" ht="15.75" customHeight="1">
      <c r="S882" s="5"/>
    </row>
    <row r="883" ht="15.75" customHeight="1">
      <c r="S883" s="5"/>
    </row>
    <row r="884" ht="15.75" customHeight="1">
      <c r="S884" s="5"/>
    </row>
    <row r="885" ht="15.75" customHeight="1">
      <c r="S885" s="5"/>
    </row>
    <row r="886" ht="15.75" customHeight="1">
      <c r="S886" s="5"/>
    </row>
    <row r="887" ht="15.75" customHeight="1">
      <c r="S887" s="5"/>
    </row>
    <row r="888" ht="15.75" customHeight="1">
      <c r="S888" s="5"/>
    </row>
    <row r="889" ht="15.75" customHeight="1">
      <c r="S889" s="5"/>
    </row>
    <row r="890" ht="15.75" customHeight="1">
      <c r="S890" s="5"/>
    </row>
    <row r="891" ht="15.75" customHeight="1">
      <c r="S891" s="5"/>
    </row>
    <row r="892" ht="15.75" customHeight="1">
      <c r="S892" s="5"/>
    </row>
    <row r="893" ht="15.75" customHeight="1">
      <c r="S893" s="5"/>
    </row>
    <row r="894" ht="15.75" customHeight="1">
      <c r="S894" s="5"/>
    </row>
    <row r="895" ht="15.75" customHeight="1">
      <c r="S895" s="5"/>
    </row>
    <row r="896" ht="15.75" customHeight="1">
      <c r="S896" s="5"/>
    </row>
    <row r="897" ht="15.75" customHeight="1">
      <c r="S897" s="5"/>
    </row>
    <row r="898" ht="15.75" customHeight="1">
      <c r="S898" s="5"/>
    </row>
    <row r="899" ht="15.75" customHeight="1">
      <c r="S899" s="5"/>
    </row>
    <row r="900" ht="15.75" customHeight="1">
      <c r="S900" s="5"/>
    </row>
    <row r="901" ht="15.75" customHeight="1">
      <c r="S901" s="5"/>
    </row>
    <row r="902" ht="15.75" customHeight="1">
      <c r="S902" s="5"/>
    </row>
    <row r="903" ht="15.75" customHeight="1">
      <c r="S903" s="5"/>
    </row>
    <row r="904" ht="15.75" customHeight="1">
      <c r="S904" s="5"/>
    </row>
    <row r="905" ht="15.75" customHeight="1">
      <c r="S905" s="5"/>
    </row>
    <row r="906" ht="15.75" customHeight="1">
      <c r="S906" s="5"/>
    </row>
    <row r="907" ht="15.75" customHeight="1">
      <c r="S907" s="5"/>
    </row>
    <row r="908" ht="15.75" customHeight="1">
      <c r="S908" s="5"/>
    </row>
    <row r="909" ht="15.75" customHeight="1">
      <c r="S909" s="5"/>
    </row>
    <row r="910" ht="15.75" customHeight="1">
      <c r="S910" s="5"/>
    </row>
    <row r="911" ht="15.75" customHeight="1">
      <c r="S911" s="5"/>
    </row>
    <row r="912" ht="15.75" customHeight="1">
      <c r="S912" s="5"/>
    </row>
    <row r="913" ht="15.75" customHeight="1">
      <c r="S913" s="5"/>
    </row>
    <row r="914" ht="15.75" customHeight="1">
      <c r="S914" s="5"/>
    </row>
    <row r="915" ht="15.75" customHeight="1">
      <c r="S915" s="5"/>
    </row>
    <row r="916" ht="15.75" customHeight="1">
      <c r="S916" s="5"/>
    </row>
    <row r="917" ht="15.75" customHeight="1">
      <c r="S917" s="5"/>
    </row>
    <row r="918" ht="15.75" customHeight="1">
      <c r="S918" s="5"/>
    </row>
    <row r="919" ht="15.75" customHeight="1">
      <c r="S919" s="5"/>
    </row>
    <row r="920" ht="15.75" customHeight="1">
      <c r="S920" s="5"/>
    </row>
    <row r="921" ht="15.75" customHeight="1">
      <c r="S921" s="5"/>
    </row>
    <row r="922" ht="15.75" customHeight="1">
      <c r="S922" s="5"/>
    </row>
    <row r="923" ht="15.75" customHeight="1">
      <c r="S923" s="5"/>
    </row>
    <row r="924" ht="15.75" customHeight="1">
      <c r="S924" s="5"/>
    </row>
    <row r="925" ht="15.75" customHeight="1">
      <c r="S925" s="5"/>
    </row>
    <row r="926" ht="15.75" customHeight="1">
      <c r="S926" s="5"/>
    </row>
    <row r="927" ht="15.75" customHeight="1">
      <c r="S927" s="5"/>
    </row>
    <row r="928" ht="15.75" customHeight="1">
      <c r="S928" s="5"/>
    </row>
    <row r="929" ht="15.75" customHeight="1">
      <c r="S929" s="5"/>
    </row>
    <row r="930" ht="15.75" customHeight="1">
      <c r="S930" s="5"/>
    </row>
    <row r="931" ht="15.75" customHeight="1">
      <c r="S931" s="5"/>
    </row>
    <row r="932" ht="15.75" customHeight="1">
      <c r="S932" s="5"/>
    </row>
    <row r="933" ht="15.75" customHeight="1">
      <c r="S933" s="5"/>
    </row>
    <row r="934" ht="15.75" customHeight="1">
      <c r="S934" s="5"/>
    </row>
    <row r="935" ht="15.75" customHeight="1">
      <c r="S935" s="5"/>
    </row>
    <row r="936" ht="15.75" customHeight="1">
      <c r="S936" s="5"/>
    </row>
    <row r="937" ht="15.75" customHeight="1">
      <c r="S937" s="5"/>
    </row>
    <row r="938" ht="15.75" customHeight="1">
      <c r="S938" s="5"/>
    </row>
    <row r="939" ht="15.75" customHeight="1">
      <c r="S939" s="5"/>
    </row>
    <row r="940" ht="15.75" customHeight="1">
      <c r="S940" s="5"/>
    </row>
    <row r="941" ht="15.75" customHeight="1">
      <c r="S941" s="5"/>
    </row>
    <row r="942" ht="15.75" customHeight="1">
      <c r="S942" s="5"/>
    </row>
    <row r="943" ht="15.75" customHeight="1">
      <c r="S943" s="5"/>
    </row>
    <row r="944" ht="15.75" customHeight="1">
      <c r="S944" s="5"/>
    </row>
    <row r="945" ht="15.75" customHeight="1">
      <c r="S945" s="5"/>
    </row>
    <row r="946" ht="15.75" customHeight="1">
      <c r="S946" s="5"/>
    </row>
    <row r="947" ht="15.75" customHeight="1">
      <c r="S947" s="5"/>
    </row>
    <row r="948" ht="15.75" customHeight="1">
      <c r="S948" s="5"/>
    </row>
    <row r="949" ht="15.75" customHeight="1">
      <c r="S949" s="5"/>
    </row>
    <row r="950" ht="15.75" customHeight="1">
      <c r="S950" s="5"/>
    </row>
    <row r="951" ht="15.75" customHeight="1">
      <c r="S951" s="5"/>
    </row>
    <row r="952" ht="15.75" customHeight="1">
      <c r="S952" s="5"/>
    </row>
    <row r="953" ht="15.75" customHeight="1">
      <c r="S953" s="5"/>
    </row>
    <row r="954" ht="15.75" customHeight="1">
      <c r="S954" s="5"/>
    </row>
    <row r="955" ht="15.75" customHeight="1">
      <c r="S955" s="5"/>
    </row>
    <row r="956" ht="15.75" customHeight="1">
      <c r="S956" s="5"/>
    </row>
    <row r="957" ht="15.75" customHeight="1">
      <c r="S957" s="5"/>
    </row>
    <row r="958" ht="15.75" customHeight="1">
      <c r="S958" s="5"/>
    </row>
    <row r="959" ht="15.75" customHeight="1">
      <c r="S959" s="5"/>
    </row>
    <row r="960" ht="15.75" customHeight="1">
      <c r="S960" s="5"/>
    </row>
    <row r="961" ht="15.75" customHeight="1">
      <c r="S961" s="5"/>
    </row>
    <row r="962" ht="15.75" customHeight="1">
      <c r="S962" s="5"/>
    </row>
    <row r="963" ht="15.75" customHeight="1">
      <c r="S963" s="5"/>
    </row>
    <row r="964" ht="15.75" customHeight="1">
      <c r="S964" s="5"/>
    </row>
    <row r="965" ht="15.75" customHeight="1">
      <c r="S965" s="5"/>
    </row>
    <row r="966" ht="15.75" customHeight="1">
      <c r="S966" s="5"/>
    </row>
    <row r="967" ht="15.75" customHeight="1">
      <c r="S967" s="5"/>
    </row>
    <row r="968" ht="15.75" customHeight="1">
      <c r="S968" s="5"/>
    </row>
    <row r="969" ht="15.75" customHeight="1">
      <c r="S969" s="5"/>
    </row>
    <row r="970" ht="15.75" customHeight="1">
      <c r="S970" s="5"/>
    </row>
    <row r="971" ht="15.75" customHeight="1">
      <c r="S971" s="5"/>
    </row>
    <row r="972" ht="15.75" customHeight="1">
      <c r="S972" s="5"/>
    </row>
    <row r="973" ht="15.75" customHeight="1">
      <c r="S973" s="5"/>
    </row>
    <row r="974" ht="15.75" customHeight="1">
      <c r="S974" s="5"/>
    </row>
    <row r="975" ht="15.75" customHeight="1">
      <c r="S975" s="5"/>
    </row>
    <row r="976" ht="15.75" customHeight="1">
      <c r="S976" s="5"/>
    </row>
    <row r="977" ht="15.75" customHeight="1">
      <c r="S977" s="5"/>
    </row>
    <row r="978" ht="15.75" customHeight="1">
      <c r="S978" s="5"/>
    </row>
    <row r="979" ht="15.75" customHeight="1">
      <c r="S979" s="5"/>
    </row>
    <row r="980" ht="15.75" customHeight="1">
      <c r="S980" s="5"/>
    </row>
    <row r="981" ht="15.75" customHeight="1">
      <c r="S981" s="5"/>
    </row>
    <row r="982" ht="15.75" customHeight="1">
      <c r="S982" s="5"/>
    </row>
    <row r="983" ht="15.75" customHeight="1">
      <c r="S983" s="5"/>
    </row>
    <row r="984" ht="15.75" customHeight="1">
      <c r="S984" s="5"/>
    </row>
    <row r="985" ht="15.75" customHeight="1">
      <c r="S985" s="5"/>
    </row>
    <row r="986" ht="15.75" customHeight="1">
      <c r="S986" s="5"/>
    </row>
    <row r="987" ht="15.75" customHeight="1">
      <c r="S987" s="5"/>
    </row>
    <row r="988" ht="15.75" customHeight="1">
      <c r="S988" s="5"/>
    </row>
    <row r="989" ht="15.75" customHeight="1">
      <c r="S989" s="5"/>
    </row>
    <row r="990" ht="15.75" customHeight="1">
      <c r="S990" s="5"/>
    </row>
    <row r="991" ht="15.75" customHeight="1">
      <c r="S991" s="5"/>
    </row>
    <row r="992" ht="15.75" customHeight="1">
      <c r="S992" s="5"/>
    </row>
    <row r="993" ht="15.75" customHeight="1">
      <c r="S993" s="5"/>
    </row>
    <row r="994" ht="15.75" customHeight="1">
      <c r="S994" s="5"/>
    </row>
    <row r="995" ht="15.75" customHeight="1">
      <c r="S995" s="5"/>
    </row>
    <row r="996" ht="15.75" customHeight="1">
      <c r="S996" s="5"/>
    </row>
    <row r="997" ht="15.75" customHeight="1">
      <c r="S997" s="5"/>
    </row>
    <row r="998" ht="15.75" customHeight="1">
      <c r="S998" s="5"/>
    </row>
    <row r="999" ht="15.75" customHeight="1">
      <c r="S999" s="5"/>
    </row>
    <row r="1000" ht="15.75" customHeight="1">
      <c r="S1000" s="5"/>
    </row>
  </sheetData>
  <printOptions/>
  <pageMargins bottom="1.0" footer="0.0" header="0.0" left="0.75" right="0.75" top="1.0"/>
  <pageSetup orientation="landscape"/>
  <drawing r:id="rId1"/>
</worksheet>
</file>