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<sst xmlns="http://schemas.openxmlformats.org/spreadsheetml/2006/main" count="349" uniqueCount="228">
  <si>
    <t>product_name</t>
  </si>
  <si>
    <t>Product_attribute_list</t>
  </si>
  <si>
    <t>material</t>
  </si>
  <si>
    <t>warranty</t>
  </si>
  <si>
    <t>generated_description</t>
  </si>
  <si>
    <t>latency_ms</t>
  </si>
  <si>
    <t>input_tokens</t>
  </si>
  <si>
    <t>output_tokens</t>
  </si>
  <si>
    <t>fluency</t>
  </si>
  <si>
    <t>grammar</t>
  </si>
  <si>
    <t>tone</t>
  </si>
  <si>
    <t>length</t>
  </si>
  <si>
    <t>grounding</t>
  </si>
  <si>
    <t>latency_rating</t>
  </si>
  <si>
    <t>cost_rating</t>
  </si>
  <si>
    <t>final_score</t>
  </si>
  <si>
    <t>score</t>
  </si>
  <si>
    <t>Word Count</t>
  </si>
  <si>
    <t>Cost</t>
  </si>
  <si>
    <t>Apple iPhone 15 Pro</t>
  </si>
  <si>
    <t>features: A17 Pro chip, 120 Hz ProMotion display, USB‑C fast charging; dimensions: compact</t>
  </si>
  <si>
    <t>titanium frame, Ceramic Shield glass</t>
  </si>
  <si>
    <t>1‑year limited warranty</t>
  </si>
  <si>
    <t>Experience the power and elegance of the Apple iPhone 15 Pro.  This compact powerhouse is driven by the blazing-fast A17 Pro chip and boasts a stunning 120Hz ProMotion display for ultra-smooth scrolling and gaming.  Charge quickly with the new USB-C port and enjoy the durability of a titanium frame and Ceramic Shield glass. Backed by Apple's 1-year limited warranty, the iPhone 15 Pro is ready to elevate your mobile experience.</t>
  </si>
  <si>
    <t>good</t>
  </si>
  <si>
    <t>pass</t>
  </si>
  <si>
    <t>Samsung Galaxy S24 Ultra</t>
  </si>
  <si>
    <t>features: 200 MP camera, S‑Pen support, 120 Hz AMOLED; sustainably sourced</t>
  </si>
  <si>
    <t>Armor Aluminum frame, Gorilla Glass Victus</t>
  </si>
  <si>
    <t>Capture life's moments in stunning detail with the Samsung Galaxy S24 Ultra.  Boasting a revolutionary 200MP camera and the seamless integration of the S-Pen, this phone empowers you to create and express like never before.  The vibrant 120Hz AMOLED display delivers a smooth, immersive viewing experience, while the durable Armor Aluminum frame and Gorilla Glass Victus ensure lasting protection.  Crafted with sustainably sourced materials, the Galaxy S24 Ultra is a powerful statement of innovation and responsibility, backed by a 1-year limited warranty.</t>
  </si>
  <si>
    <t>Google Pixel 8 Pro</t>
  </si>
  <si>
    <t>features: Tensor G3 chip, Magic Eraser, 50 MP camera; rating: 4.7/5</t>
  </si>
  <si>
    <t>matte glass back, aluminum frame</t>
  </si>
  <si>
    <t>Capture life's magic with the Google Pixel 8 Pro. Powered by the cutting-edge Tensor G3 chip, this smartphone delivers exceptional performance and innovative features like the groundbreaking Magic Eraser.  The stunning 50MP camera ensures every shot is crystal clear, while the sleek matte glass back and aluminum frame exude sophistication. Backed by a 1-year limited warranty, the Pixel 8 Pro is ready to elevate your mobile experience.</t>
  </si>
  <si>
    <t>ok</t>
  </si>
  <si>
    <t>Sony WH‑1000XM5 Headphones</t>
  </si>
  <si>
    <t>features: active noise cancelling, 30 hr battery, Bluetooth 5.2; capacity: large</t>
  </si>
  <si>
    <t>synthetic leather earcups</t>
  </si>
  <si>
    <t>Escape into a world of pure audio bliss with the Sony WH-1000XM5 Headphones.  These premium headphones boast industry-leading active noise cancelling, silencing the world around you so you can fully immerse yourself in your favorite music, podcasts, or audiobooks.  With a generous 30-hour battery life and the latest Bluetooth 5.2 technology, you're free to enjoy uninterrupted listening for hours on end.  Crafted with comfortable synthetic leather earcups, the WH-1000XM5s are designed for extended wear, making them the perfect companion for your daily commute, travel adventures, or simply relaxing at home. Backed by a 1-year limited warranty, you can experience Sony's renowned quality and innovation with confidence.</t>
  </si>
  <si>
    <t>bad</t>
  </si>
  <si>
    <t>fail</t>
  </si>
  <si>
    <t>Bose QuietComfort Ultra Earbuds</t>
  </si>
  <si>
    <t>features: CustomTune sound calibration, ANC, IPX4; award‑winning design</t>
  </si>
  <si>
    <t>silicone ear tips</t>
  </si>
  <si>
    <t>Experience unparalleled audio bliss with the Bose QuietComfort Ultra Earbuds. These award-winning earbuds boast CustomTune sound calibration, ensuring a personalized listening experience tailored to your ears.  Immerse yourself in your favorite music with powerful noise cancellation, while the IPX4 rating provides peace of mind during your workouts.  Crafted with comfortable silicone ear tips, the QuietComfort Ultras are designed for all-day wear. Backed by a 1-year limited warranty, you can enjoy your music with confidence.</t>
  </si>
  <si>
    <t>Amazon Echo Dot (5th Gen)</t>
  </si>
  <si>
    <t>features: Alexa voice assistant, temperature sensor, improved bass; sustainably sourced</t>
  </si>
  <si>
    <t>recycled fabric mesh</t>
  </si>
  <si>
    <t>Meet the new Amazon Echo Dot, packed with features and designed with sustainability in mind.  This compact smart speaker boasts an improved bass for richer sound, plus a built-in temperature sensor to keep you comfortable.  Simply ask Alexa to play your favorite music, set reminders, control your smart home, and more.  Crafted with a recycled fabric mesh, the Echo Dot (5th Gen) is both stylish and eco-conscious, backed by a 1-year limited warranty.</t>
  </si>
  <si>
    <t>Dell XPS 13 9310 Laptop</t>
  </si>
  <si>
    <t>features: 13.4″ FHD+ display, Intel Core i5, Thunderbolt 4; dimensions: compact</t>
  </si>
  <si>
    <t>CNC aluminum &amp; carbon‑fiber palmrest</t>
  </si>
  <si>
    <t>1‑year limited hardware warranty</t>
  </si>
  <si>
    <t>The Dell XPS 13 9310 Laptop is a powerhouse of performance packed into a remarkably compact design.  Its stunning 13.4″ FHD+ display brings your content to life, while the Intel Core i5 processor ensures smooth multitasking and effortless productivity.  Connect to your peripherals with ease using the versatile Thunderbolt 4 port.  Crafted from premium CNC aluminum and a comfortable carbon-fiber palmrest, the XPS 13 9310 is as stylish as it is functional, backed by a 1-year limited hardware warranty.</t>
  </si>
  <si>
    <t>Apple MacBook Air 13″ (M3)</t>
  </si>
  <si>
    <t>features: M3 chip, 18‑hour battery, 1080p camera; energy efficient</t>
  </si>
  <si>
    <t>recycled aluminum unibody</t>
  </si>
  <si>
    <t>Experience the power and efficiency of the new Apple MacBook Air 13″ (M3).  Powered by the groundbreaking M3 chip, this sleek laptop boasts an impressive 18-hour battery life, perfect for staying productive all day long.  Capture crystal-clear video calls with the 1080p camera, and enjoy the vibrant display on its recycled aluminum unibody.  Backed by a 1-year limited warranty, the MacBook Air 13″ (M3) is the ideal choice for students, professionals, and anyone who demands performance and sustainability.</t>
  </si>
  <si>
    <t>Microsoft Surface Pro 10</t>
  </si>
  <si>
    <t>features: Intel Core Ultra, detachable keyboard, 13″ PixelSense; dimensions: compact</t>
  </si>
  <si>
    <t>magnesium alloy chassis</t>
  </si>
  <si>
    <t>The Microsoft Surface Pro 10 is the perfect blend of power and portability.  Equipped with an Intel Core Ultra processor, this compact tablet delivers exceptional performance for work and play.  The detachable keyboard allows for seamless transitions between laptop and tablet modes, while the stunning 13″ PixelSense display brings your content to life.  Crafted from a durable magnesium alloy chassis, the Surface Pro 10 is built to last, backed by a 1-year limited warranty.</t>
  </si>
  <si>
    <t>Garmin Forerunner 255</t>
  </si>
  <si>
    <t>features: multi‑band GPS, HRV status, 14‑day battery; rating: 4.7/5</t>
  </si>
  <si>
    <t>fiber‑reinforced polymer</t>
  </si>
  <si>
    <t>The Garmin Forerunner 255 is the perfect running companion for serious athletes.  Equipped with multi-band GPS for precise tracking and HRV status to monitor your recovery, this watch helps you optimize your performance.  Enjoy up to 14 days of battery life on a single charge, so you can focus on your runs, not your watch.  Crafted from durable fiber-reinforced polymer, the Forerunner 255 is built to withstand the demands of your training. Backed by a 1-year limited warranty, you can run with confidence knowing your investment is protected.</t>
  </si>
  <si>
    <t>Fitbit Charge 6</t>
  </si>
  <si>
    <t>features: heart‑rate monitor, built‑in GPS, 7‑day battery; color options: multiple</t>
  </si>
  <si>
    <t>aluminum case</t>
  </si>
  <si>
    <t>The Fitbit Charge 6 is your all-in-one fitness companion.  Track your heart rate, explore with built-in GPS, and power through your week with a 7-day battery life.  Available in a variety of stylish colors, this sleek aluminum case tracker is ready to elevate your fitness journey. Backed by a 1-year limited warranty, you can wear it with confidence knowing Fitbit has you covered.</t>
  </si>
  <si>
    <t>GoPro HERO12 Black</t>
  </si>
  <si>
    <t>features: 5.3K60 video, HyperSmooth 6.0, waterproof 10 m; capacity: large</t>
  </si>
  <si>
    <t>rugged polycarbonate</t>
  </si>
  <si>
    <t>Capture every epic moment in stunning detail with the GoPro HERO12 Black. This rugged powerhouse shoots incredible 5.3K60 video, stabilized by the latest HyperSmooth 6.0 technology. Dive into action knowing it's waterproof to 10 meters, and with its large capacity, you'll have plenty of space for all your adventures. Built tough with durable polycarbonate, the HERO12 Black is ready for anything. Backed by a 1-year limited warranty, you can explore with confidence.</t>
  </si>
  <si>
    <t>DJI Mini 4 Pro Drone</t>
  </si>
  <si>
    <t>features: 4K/60fps, omnidirectional obstacle sensing, &lt;250 g; rating: 4.7/5</t>
  </si>
  <si>
    <t>composite plastic</t>
  </si>
  <si>
    <t>Capture stunning 4K footage at 60fps with the DJI Mini 4 Pro Drone.  Weighing in at under 250g, this nimble drone is perfect for aerial adventures.  Omnidirectional obstacle sensing keeps you safe while you explore, and with a 4.7/5 star rating, you can trust in its performance.  Crafted from durable composite plastic, the Mini 4 Pro is built to last.  Enjoy peace of mind with a 1-year limited warranty.</t>
  </si>
  <si>
    <t>Nintendo Switch OLED</t>
  </si>
  <si>
    <t>features: 7″ OLED screen, docked &amp; handheld modes, 64 GB storage; capacity: large</t>
  </si>
  <si>
    <t>plastic chassis</t>
  </si>
  <si>
    <t>Immerse yourself in vibrant colors and stunning detail with the Nintendo Switch OLED.  This console boasts a beautiful 7" OLED screen, perfect for both docked and handheld play.  With 64GB of storage, you'll have plenty of space for your favorite games.  Crafted with a durable plastic chassis, the Switch OLED is built to last, and comes with a 1-year limited warranty for added peace of mind.</t>
  </si>
  <si>
    <t>PlayStation 5 Slim</t>
  </si>
  <si>
    <t>features: ray tracing, haptic feedback controller, 1 TB SSD; battery: long‑lasting</t>
  </si>
  <si>
    <t>plastic shell</t>
  </si>
  <si>
    <t>Experience the future of gaming with the PlayStation 5 Slim.  This sleek console, housed in a durable plastic shell, delivers stunning visuals with ray tracing technology and immersive gameplay through its haptic feedback controller.  With a spacious 1TB SSD, you'll enjoy lightning-fast load times, while the long-lasting battery ensures hours of uninterrupted entertainment. Backed by a 1-year limited warranty, the PlayStation 5 Slim is ready to elevate your gaming experience.</t>
  </si>
  <si>
    <t>Xbox Series X</t>
  </si>
  <si>
    <t>features: 12 TFLOPS GPU, 1 TB SSD, 4K @ 120 Hz; battery: long‑lasting</t>
  </si>
  <si>
    <t>matte black casing</t>
  </si>
  <si>
    <t>Experience next-gen gaming with the Xbox Series X.  This powerhouse console boasts a 12 TFLOPS GPU and a lightning-fast 1TB SSD, delivering stunning 4K visuals at up to 120Hz for incredibly smooth gameplay.  The sleek matte black casing adds a touch of modern sophistication to your entertainment setup.  Backed by a 1-year limited warranty, the Xbox Series X is ready to take your gaming to the next level.</t>
  </si>
  <si>
    <t>Instant Pot Duo 6‑Quart</t>
  </si>
  <si>
    <t>features: 7‑in‑1 multicooker, stainless steel inner pot, 1000 W heating; weight: light</t>
  </si>
  <si>
    <t>18/8 stainless steel</t>
  </si>
  <si>
    <t>The Instant Pot Duo 6-Quart is a kitchen essential, combining seven appliances in one sleek design.  This 6-quart multicooker features a powerful 1000W heating element and a durable 18/8 stainless steel inner pot for effortless cooking.  Its lightweight design makes it easy to maneuver, while the 1-year limited warranty provides peace of mind.</t>
  </si>
  <si>
    <t>Keurig K‑Supreme Plus Smart</t>
  </si>
  <si>
    <t>features: multistream extraction, BrewID, 78 oz reservoir; capacity: large</t>
  </si>
  <si>
    <t>brushed stainless steel accents</t>
  </si>
  <si>
    <t>Elevate your coffee routine with the Keurig K-Supreme Plus Smart.  This sleek brewer, featuring brushed stainless steel accents, boasts a large 78-ounce reservoir for uninterrupted brewing.  Enjoy perfectly extracted coffee every time with multistream technology and the innovative BrewID system, which automatically adjusts brewing parameters for optimal flavor. Backed by a 1-year limited warranty, the K-Supreme Plus Smart is your smart choice for delicious coffee at home.</t>
  </si>
  <si>
    <t>Vitamix 5200 Blender</t>
  </si>
  <si>
    <t>features: variable speed, 2‑hp motor, self‑cleaning; sustainably sourced</t>
  </si>
  <si>
    <t>BPA‑free Tritan jar</t>
  </si>
  <si>
    <t>7‑year warranty</t>
  </si>
  <si>
    <t>The Vitamix 5200 Blender is a powerhouse in the kitchen, ready to tackle any recipe with its 2-hp motor and variable speed control.  Blend smoothies, soups, sauces, and more with ease, knowing your Vitamix is built to last with a 7-year warranty.  Crafted with a BPA-free Tritan jar, this blender is not only durable but also environmentally conscious, made from sustainably sourced materials.  Cleaning is a breeze thanks to the self-cleaning feature, leaving you more time to enjoy your culinary creations.</t>
  </si>
  <si>
    <t>Dyson V15 Detect Vacuum</t>
  </si>
  <si>
    <t>features: laser dust detection, HEPA filtration, 60‑min run‑time; energy efficient</t>
  </si>
  <si>
    <t>polycarbonate &amp; aluminum</t>
  </si>
  <si>
    <t>2‑year parts &amp; labor</t>
  </si>
  <si>
    <t>The Dyson V15 Detect Vacuum is a powerhouse of cleaning innovation.  Equipped with laser dust detection, you'll see every speck, ensuring a truly deep clean. HEPA filtration traps allergens and fine dust, leaving your home healthy and fresh.  Enjoy up to 60 minutes of fade-free suction on a single charge, making even large homes a breeze.  Crafted from durable polycarbonate and aluminum, the V15 Detect is built to last, backed by a 2-year parts and labor warranty.</t>
  </si>
  <si>
    <t>iRobot Roomba j7+</t>
  </si>
  <si>
    <t>features: PrecisionVision navigation, self‑emptying Clean Base, Alexa; award‑winning design</t>
  </si>
  <si>
    <t>plastic housing</t>
  </si>
  <si>
    <t>Meet the iRobot Roomba j7+, an award-winning robot vacuum that redefines clean.  With PrecisionVision navigation, it expertly avoids obstacles, while the self-emptying Clean Base keeps your home dust-free for weeks.  Control it with your voice using Alexa, and enjoy the convenience of a robot vacuum that learns your home.  Crafted with a durable plastic housing, the j7+ is backed by a 1-year limited warranty for peace of mind.</t>
  </si>
  <si>
    <t>Yeti Rambler 20 oz Tumbler</t>
  </si>
  <si>
    <t>features: double‑wall vacuum insulated, MagSlider lid; dimensions: compact</t>
  </si>
  <si>
    <t>kitchen‑grade stainless steel</t>
  </si>
  <si>
    <t>5‑year warranty</t>
  </si>
  <si>
    <t>Keep your drinks icy cold or piping hot for hours on end with the Yeti Rambler 20 oz Tumbler. Crafted from durable, kitchen-grade stainless steel, this compact tumbler is built to withstand your everyday adventures. The double-wall vacuum insulation locks in temperature, while the MagSlider lid ensures a secure and spill-proof seal.  Backed by Yeti's 5-year warranty, you can be confident in the Rambler's quality and performance.</t>
  </si>
  <si>
    <t>Stanley Quencher H2.0 40 oz</t>
  </si>
  <si>
    <t>features: vacuum insulated, flow‑state lid, cup‑holder friendly; battery: long‑lasting</t>
  </si>
  <si>
    <t>recycled stainless steel</t>
  </si>
  <si>
    <t>lifetime warranty</t>
  </si>
  <si>
    <t>Stay refreshed all day long with the Stanley Quencher H2.0 40oz. This durable, vacuum-insulated tumbler keeps your drinks cold for hours, thanks to its double-wall construction and long-lasting battery. The innovative flow-state lid ensures easy sipping, while the cup-holder friendly design makes it perfect for on-the-go hydration. Crafted from recycled stainless steel, the Quencher H2.0 is built to last, backed by a lifetime warranty for worry-free enjoyment.</t>
  </si>
  <si>
    <t>Hydro Flask 32 oz Wide Mouth</t>
  </si>
  <si>
    <t>features: TempShield insulation, Color Last powder coat; dimensions: compact</t>
  </si>
  <si>
    <t>pro‑grade stainless steel</t>
  </si>
  <si>
    <t>Stay refreshed all day long with the Hydro Flask 32 oz Wide Mouth.  This compact bottle is crafted from durable, pro-grade stainless steel and features TempShield insulation to keep your drinks icy cold or piping hot for hours.  The Color Last powder coat ensures your Hydro Flask looks as good as new, even with daily use.  Backed by a lifetime warranty, this is an investment in hydration that will last.</t>
  </si>
  <si>
    <t>Contigo Autoseal West Loop 16 oz</t>
  </si>
  <si>
    <t>features: autoseal spill‑proof lid, double‑wall insulation; dimensions: compact</t>
  </si>
  <si>
    <t>stainless steel</t>
  </si>
  <si>
    <t>The Contigo Autoseal West Loop is your perfect on-the-go companion.  This compact, 16-ounce stainless steel tumbler keeps your drinks hot or cold for hours thanks to its double-wall insulation.  The innovative Autoseal lid ensures a spill-proof experience, so you can toss it in your bag without worry.  Backed by a lifetime warranty, the West Loop is built to last, making it a smart investment for your daily hydration needs.</t>
  </si>
  <si>
    <t>Nike Air Zoom Pegasus 40</t>
  </si>
  <si>
    <t>features: React foam, Zoom Air units, engineered mesh upper; energy efficient</t>
  </si>
  <si>
    <t>textile &amp; synthetic</t>
  </si>
  <si>
    <t>2‑year manufacturer warranty</t>
  </si>
  <si>
    <t>Experience the ultimate in running comfort with the Nike Air Zoom Pegasus 40.  These shoes are designed for energy efficiency, featuring responsive React foam cushioning and Zoom Air units for a springy, propulsive feel. The engineered mesh upper provides breathable support, keeping your feet cool and comfortable mile after mile. Backed by a 2-year manufacturer warranty, the Pegasus 40 is ready to take you to new heights.</t>
  </si>
  <si>
    <t>Adidas Ultraboost Light</t>
  </si>
  <si>
    <t>features: Light BOOST midsole, Primeknit+ upper, Continental rubber; rating: 4.7/5</t>
  </si>
  <si>
    <t>Experience the ultimate in lightweight comfort with the Adidas Ultraboost Light.  These sneakers boast a responsive Light BOOST midsole for a springy feel with every step, while the breathable Primeknit+ upper provides a snug, supportive fit.  Durable Continental rubber ensures excellent traction on a variety of surfaces. Backed by a 2-year manufacturer warranty, the Ultraboost Light is ready to elevate your everyday runs and workouts.</t>
  </si>
  <si>
    <t>The North Face ThermoBall Eco Jacket</t>
  </si>
  <si>
    <t>features: synthetic ThermoBall insulation, DWR finish; dimensions: compact</t>
  </si>
  <si>
    <t>100% recycled nylon</t>
  </si>
  <si>
    <t>Stay warm and comfortable in any weather with The North Face ThermoBall Eco Jacket. This compact jacket is filled with synthetic ThermoBall insulation, providing exceptional warmth without the weight. The DWR finish repels water and helps keep you dry, while the 100% recycled nylon construction is both durable and eco-friendly. Backed by The North Face's lifetime warranty, you can be confident in the quality and performance of this jacket for years to come.</t>
  </si>
  <si>
    <t>Patagonia Black Hole 32 L Backpack</t>
  </si>
  <si>
    <t>features: weather‑resistant, laptop sleeve, padded straps; capacity: large</t>
  </si>
  <si>
    <t>100% recycled polyester ripstop</t>
  </si>
  <si>
    <t>The Patagonia Black Hole 32L Backpack is built for adventure, with a large capacity perfect for hauling all your gear. Made from durable, 100% recycled polyester ripstop, this backpack is weather-resistant and ready to tackle any terrain.  A padded laptop sleeve keeps your electronics safe and secure, while the padded straps ensure comfortable carrying even when fully loaded. Backed by Patagonia's legendary lifetime warranty, the Black Hole 32L is an investment in quality and performance that will last for years to come.</t>
  </si>
  <si>
    <t>Osprey Farpoint 40</t>
  </si>
  <si>
    <t>features: stowaway harness, laptop sleeve, carry‑on size; energy efficient</t>
  </si>
  <si>
    <t>450D recycled nylon</t>
  </si>
  <si>
    <t>The Osprey Farpoint 40 is the perfect travel companion, designed for both comfort and efficiency.  This carry-on sized backpack boasts a stowaway harness, making it easy to transition from backpack to shoulder bag, and a dedicated laptop sleeve to keep your electronics safe. Crafted from durable 450D recycled nylon, the Farpoint 40 is built to last, backed by Osprey's legendary lifetime warranty.  Explore the world with confidence, knowing your gear is in good hands.</t>
  </si>
  <si>
    <t>LEGO Star Wars Millennium Falcon 75192</t>
  </si>
  <si>
    <t>features: 7 541 pieces, detailed interior, minifigs included; battery: long‑lasting</t>
  </si>
  <si>
    <t>ABS plastic bricks</t>
  </si>
  <si>
    <t>lifetime replacement of missing bricks</t>
  </si>
  <si>
    <t>Calling all Star Wars fans!  Build the iconic Millennium Falcon with this incredible 7,541-piece LEGO set.  Explore a detailed interior, complete with authentic features and minifigs.  This set is crafted from durable ABS plastic bricks and comes with a lifetime guarantee for missing bricks, so you can build and display your masterpiece with confidence.  The long-lasting battery ensures hours of interactive fun.</t>
  </si>
  <si>
    <t>LEGO Icons Botanical Orchid 10311</t>
  </si>
  <si>
    <t>features: 608 pieces, adjustable blooms, decorative set; color options: multiple</t>
  </si>
  <si>
    <t>Bring a touch of nature indoors with the LEGO Icons Botanical Orchid 10311. This stunning set features 608 pieces, allowing you to build a beautiful and realistic orchid with adjustable blooms.  Crafted from durable ABS plastic bricks, this decorative set is available in multiple color options to perfectly complement your home decor. Plus, with LEGO's lifetime guarantee to replace any missing bricks, you can enjoy your orchid for years to come.</t>
  </si>
  <si>
    <t>Kindle Paperwhite 11th Gen</t>
  </si>
  <si>
    <t>features: 6.8″ glare‑free display, 10‑week battery, USB‑C; dimensions: compact</t>
  </si>
  <si>
    <t>recycled plastic</t>
  </si>
  <si>
    <t>Escape into a world of endless reading with the Kindle Paperwhite 11th Gen.  Its spacious 6.8″ glare-free display makes every page a joy to read, whether you're curled up indoors or relaxing outdoors.  Enjoy weeks of battery life on a single charge, thanks to its impressive 10-week runtime, and easily transfer your books with the convenient USB-C port.  Crafted with recycled plastic, the Paperwhite is as kind to the planet as it is to your eyes.  Backed by a 1-year limited warranty, your reading adventures are sure to be worry-free.</t>
  </si>
  <si>
    <t>Kobo Libra 2</t>
  </si>
  <si>
    <t>features: 7″ E Ink Carta, Bluetooth audiobooks, waterproof IPX8; weight: light</t>
  </si>
  <si>
    <t>Escape into a world of words with the Kobo Libra 2.  This lightweight e-reader boasts a stunning 7” E Ink Carta display, perfect for hours of comfortable reading.  Enjoy your favorite audiobooks wirelessly via Bluetooth, and don't worry about a little rain – the Libra 2 is IPX8 waterproof.  Crafted with a durable plastic chassis, the Libra 2 is built to keep up with your busy life, backed by a 1-year limited warranty.</t>
  </si>
  <si>
    <t>Anker Soundcore Motion+ Speaker</t>
  </si>
  <si>
    <t>features: 30 W audio, Hi‑Res, IPX7 waterproof; energy efficient</t>
  </si>
  <si>
    <t>aluminum grille</t>
  </si>
  <si>
    <t>18‑month warranty</t>
  </si>
  <si>
    <t>The Anker Soundcore Motion+ Speaker delivers powerful 30W audio with Hi-Res certification, ensuring a rich and immersive listening experience. Its IPX7 waterproof rating makes it perfect for poolside parties or outdoor adventures, while the durable aluminum grille adds a touch of style and protection. Enjoy exceptional sound quality and peace of mind with Anker's 18-month warranty.</t>
  </si>
  <si>
    <t>Sonos Move 2</t>
  </si>
  <si>
    <t>features: WiFi &amp; Bluetooth, 24‑hr battery, automatic Trueplay; rating: 4.7/5</t>
  </si>
  <si>
    <t>shock‑resistant shell</t>
  </si>
  <si>
    <t>The Sonos Move 2 is the ultimate portable speaker for music lovers on the go.  Enjoy your favorite tunes wirelessly via WiFi or Bluetooth, with a powerful 24-hour battery life that keeps the music going all day and night.  Automatic Trueplay technology ensures your sound is always perfectly tuned to your environment, while the shock-resistant shell protects it from bumps and drops. Backed by a 1-year limited warranty, the Sonos Move 2 delivers exceptional sound quality and convenience wherever you are.</t>
  </si>
  <si>
    <t>Philips Hue White &amp; Color Ambiance Starter Kit</t>
  </si>
  <si>
    <t>features: 16 million colors, Bluetooth &amp; Zigbee, voice control; limited edition</t>
  </si>
  <si>
    <t>plastic bulbs</t>
  </si>
  <si>
    <t>2‑year limited warranty</t>
  </si>
  <si>
    <t>Unleash a world of color and ambiance in your home with the Philips Hue White &amp; Color Ambiance Starter Kit. This limited-edition kit features three smart bulbs that offer 16 million vibrant colors, allowing you to customize your lighting to match any mood or occasion. Control your lights effortlessly with Bluetooth or Zigbee connectivity, and enjoy seamless voice control compatibility. Illuminate your space with endless possibilities, backed by a 2-year limited warranty.</t>
  </si>
  <si>
    <t>TP‑Link Deco XE75 Mesh WiFi 6E</t>
  </si>
  <si>
    <t>features: tri‑band AXE5400, 3‑pack covers 7 200 sq ft; battery: long‑lasting</t>
  </si>
  <si>
    <t>plastic</t>
  </si>
  <si>
    <t>Experience seamless, lightning-fast WiFi throughout your entire home with the TP-Link Deco XE75 Mesh WiFi 6E 3-pack. This powerful system delivers tri-band AXE5400 speeds, covering up to 7,200 square feet with exceptional coverage. Enjoy long-lasting battery life and reliable performance, all backed by a 2-year limited warranty. Upgrade your home network today and unlock the full potential of WiFi 6E.</t>
  </si>
  <si>
    <t>Eufy Video Doorbell Dual</t>
  </si>
  <si>
    <t>features: dual camera, package detection, 2K resolution; battery: long‑lasting</t>
  </si>
  <si>
    <t>See and know everything happening at your doorstep with the Eufy Video Doorbell Dual.  This innovative doorbell boasts dual cameras, capturing a wider view and even detecting packages left at your door.  Enjoy crystal-clear 2K resolution for every detail, and rest assured with the long-lasting battery that keeps watch day and night.  Housed in durable plastic, the Eufy Video Doorbell Dual comes with a 1-year limited warranty for your peace of mind.</t>
  </si>
  <si>
    <t>Blink Outdoor 4</t>
  </si>
  <si>
    <t>features: 1080p HD, 2‑year battery, weather‑resistant; limited edition</t>
  </si>
  <si>
    <t>Capture crystal-clear 1080p HD footage day and night with the Blink Outdoor 4, a limited-edition security camera designed to keep an eye on your home.  Powered by a long-lasting 2-year battery, this weather-resistant camera is built to withstand the elements.  Enjoy peace of mind knowing your property is protected with the Blink Outdoor 4, backed by a 1-year limited warranty.</t>
  </si>
  <si>
    <t>Corsair K100 RGB Keyboard</t>
  </si>
  <si>
    <t>features: Cherry MX Speed, 4000 Hz polling, aluminum frame; capacity: large</t>
  </si>
  <si>
    <t>brushed aluminum</t>
  </si>
  <si>
    <t>2‑year warranty</t>
  </si>
  <si>
    <t>Experience lightning-fast responsiveness with the Corsair K100 RGB Keyboard.  Crafted with a durable brushed aluminum frame and featuring Cherry MX Speed switches, this keyboard is built for serious gamers and demanding users.  With 4000Hz polling, every keystroke is registered instantly, giving you a competitive edge. Backed by a 2-year warranty, the K100 RGB delivers exceptional performance and reliability.</t>
  </si>
  <si>
    <t>Logitech MX Master 3S</t>
  </si>
  <si>
    <t>features: 8K DPI sensor, MagSpeed scroll, Bolt &amp; Bluetooth; color options: multiple</t>
  </si>
  <si>
    <t>Experience unparalleled precision and comfort with the Logitech MX Master 3S.  This versatile mouse boasts an 8K DPI sensor for smooth, accurate tracking, and the innovative MagSpeed scroll wheel lets you fly through documents with ease.  Connect seamlessly via Bolt or Bluetooth, and choose from a variety of colors to match your style. Crafted from durable plastic, the MX Master 3S is backed by a 1-year limited warranty, giving you peace of mind with every click.</t>
  </si>
  <si>
    <t>Razer DeathAdder V3 Pro</t>
  </si>
  <si>
    <t>features: 63 g ultralight, 30K DPI Focus Pro sensor; battery: long‑lasting</t>
  </si>
  <si>
    <t>Dominate your competition with the Razer DeathAdder V3 Pro. This ultralight gaming mouse, weighing in at a featherlight 63g, is built for speed and precision.  The 30K DPI Focus Pro sensor ensures pinpoint accuracy, while the long-lasting battery keeps you in the game. Crafted from durable plastic, the DeathAdder V3 Pro is backed by a 2-year warranty, giving you peace of mind for years of epic gaming sessions.</t>
  </si>
  <si>
    <t>Samsung 980 Pro 2 TB NVMe SSD</t>
  </si>
  <si>
    <t>features: PCIe 4.0, up to 7 000 MB/s read, nickel coating; battery: long‑lasting</t>
  </si>
  <si>
    <t>PCB &amp; NAND flash</t>
  </si>
  <si>
    <t>5‑year limited warranty</t>
  </si>
  <si>
    <t>Experience lightning-fast speeds with the Samsung 980 Pro 2TB NVMe SSD.  Powered by PCIe 4.0 technology, this drive boasts incredible read speeds of up to 7,000 MB/s, making it perfect for demanding applications and seamless multitasking.  Crafted with a durable PCB and NAND flash, the 980 Pro features a sleek nickel coating for enhanced heat dissipation and long-lasting performance. Backed by a 5-year limited warranty, you can trust the Samsung 980 Pro to deliver exceptional speed and reliability for years to come.</t>
  </si>
  <si>
    <t>Seagate Portable 5 TB HDD</t>
  </si>
  <si>
    <t>features: USB 3.0, plug‑and‑play, 2.5″ form factor; rating: 4.7/5</t>
  </si>
  <si>
    <t>The Seagate Portable 5TB HDD is your go-to solution for effortless storage on the move.  With a spacious 5TB capacity, you can easily carry your entire digital library, from photos and videos to documents and music.  The compact 2.5" form factor and durable plastic shell make it perfect for travel, while USB 3.0 connectivity ensures fast and reliable data transfer. Simply plug and play – it's that easy! Backed by a 1-year limited warranty, you can trust the Seagate Portable 5TB HDD to keep your precious data safe and accessible.</t>
  </si>
  <si>
    <t>SanDisk Extreme PRO 128 GB SDXC</t>
  </si>
  <si>
    <t>features: UHS‑I U3, 200 MB/s read, waterproof; battery: long‑lasting</t>
  </si>
  <si>
    <t>lifetime limited warranty</t>
  </si>
  <si>
    <t>Capture every epic moment with the SanDisk Extreme PRO 128GB SDXC card. This high-performance card boasts UHS-I U3 technology and blazing-fast 200MB/s read speeds, ensuring smooth 4K video recording and rapid file transfers.  Built tough with waterproof protection, the Extreme PRO is ready for any adventure. Plus, enjoy peace of mind with SanDisk's lifetime limited warranty.</t>
  </si>
  <si>
    <t>Kingston Fury Beast 32 GB DDR5</t>
  </si>
  <si>
    <t>features: 6000 MT/s, Intel XMP 3.0, low‑profile heat spreader; energy efficient</t>
  </si>
  <si>
    <t>aluminum heatspreader</t>
  </si>
  <si>
    <t>Unleash the beast within your PC with the Kingston Fury Beast 32GB DDR5. This high-performance memory boasts a blazing 6000MT/s speed, powered by Intel XMP 3.0 for effortless overclocking. Its sleek, low-profile aluminum heat spreader keeps things cool and efficient, ensuring optimal performance even during demanding tasks. Backed by a lifetime warranty, the Kingston Fury Beast is built to last and deliver exceptional value.</t>
  </si>
  <si>
    <t>Acer Predator XB273U 27″ Monitor</t>
  </si>
  <si>
    <t>features: 2560×1440 170 Hz IPS, HDR400, G‑Sync Compatible; capacity: large</t>
  </si>
  <si>
    <t>plastic &amp; metal stand</t>
  </si>
  <si>
    <t>3‑year warranty</t>
  </si>
  <si>
    <t>Immerse yourself in the heart-pounding action with the Acer Predator XB273U 27″ Monitor.  Boasting a stunning 2560×1440 resolution and a lightning-fast 170Hz refresh rate, this IPS display delivers ultra-smooth visuals with incredible clarity.  HDR400 technology brings your games to life with vibrant colors and deeper contrast, while G-Sync compatibility ensures tear-free gameplay.  Built with a durable plastic and metal stand, the XB273U is ready to conquer your gaming sessions, backed by a 3-year warranty for your peace of mind.</t>
  </si>
  <si>
    <t>BenQ PD2725U 27″ Monitor</t>
  </si>
  <si>
    <t>features: 4K UHD IPS, 98% P3, Thunderbolt 3; color options: multiple</t>
  </si>
  <si>
    <t>metal stand</t>
  </si>
  <si>
    <t>Experience stunning visuals with the BenQ PD2725U 27″ Monitor.  This 4K UHD IPS display delivers incredible detail and clarity, while 98% P3 color gamut ensures vibrant, accurate colors.  The Thunderbolt 3 connectivity provides fast data transfer and power delivery, making it a perfect companion for creative professionals.  Crafted with a durable metal stand, the PD2725U is built to last and comes with a 3-year warranty for your peace of mind.</t>
  </si>
  <si>
    <t>ASUS ProArt PA278QV Monitor</t>
  </si>
  <si>
    <t>features: 27″ 2560×1440 IPS, 100% sRGB, Calman Verified; weight: light</t>
  </si>
  <si>
    <t>The ASUS ProArt PA278QV Monitor is a dream for creatives.  This 27-inch beauty boasts a stunning 2560x1440 IPS display, covering 100% of the sRGB color gamut and Calman Verified for accurate, vibrant colors.  Its lightweight design and sleek metal stand make it perfect for any workspace, while the 3-year warranty ensures peace of mind.  Bring your creative visions to life with the ProArt PA278QV.</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</si>
</sst>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00"/>
  </numFmts>
  <fonts count="3">
    <font>
      <sz val="11.0"/>
      <color theme="1"/>
      <name val="Calibri"/>
      <scheme val="minor"/>
    </font>
    <font>
      <color theme="1"/>
      <name val="Calibri"/>
      <scheme val="minor"/>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0" xfId="0" applyAlignment="1" applyFont="1">
      <alignment readingOrder="0" vertical="bottom"/>
    </xf>
    <xf borderId="0" fillId="0" fontId="2"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8"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3" t="s">
        <v>17</v>
      </c>
      <c r="S1" s="4" t="s">
        <v>18</v>
      </c>
    </row>
    <row r="2">
      <c r="A2" s="1" t="s">
        <v>19</v>
      </c>
      <c r="B2" s="1" t="s">
        <v>20</v>
      </c>
      <c r="C2" s="1" t="s">
        <v>21</v>
      </c>
      <c r="D2" s="1" t="s">
        <v>22</v>
      </c>
      <c r="E2" s="1" t="s">
        <v>23</v>
      </c>
      <c r="F2" s="1">
        <v>1587.9</v>
      </c>
      <c r="G2" s="1">
        <v>276.0</v>
      </c>
      <c r="H2" s="1">
        <v>105.0</v>
      </c>
      <c r="I2" s="4" t="s">
        <v>24</v>
      </c>
      <c r="J2" s="4" t="s">
        <v>24</v>
      </c>
      <c r="K2" s="4" t="s">
        <v>24</v>
      </c>
      <c r="L2" s="4" t="s">
        <v>24</v>
      </c>
      <c r="M2" s="4" t="s">
        <v>24</v>
      </c>
      <c r="N2" s="4" t="s">
        <v>24</v>
      </c>
      <c r="O2" s="4" t="s">
        <v>24</v>
      </c>
      <c r="P2" s="4" t="s">
        <v>25</v>
      </c>
      <c r="Q2" s="5">
        <v>21.0</v>
      </c>
      <c r="R2" s="1">
        <f>IFERROR(__xludf.DUMMYFUNCTION("IF(E2="""", 0, COUNTA(SPLIT(TRIM(E2), "" "")))"),70.0)</f>
        <v>70</v>
      </c>
      <c r="S2" s="6">
        <f t="shared" ref="S2:S51" si="1">(G2/1000000)*0.03 + (H2/1000000)*0.09</f>
        <v>0.00001773</v>
      </c>
    </row>
    <row r="3">
      <c r="A3" s="1" t="s">
        <v>26</v>
      </c>
      <c r="B3" s="1" t="s">
        <v>27</v>
      </c>
      <c r="C3" s="1" t="s">
        <v>28</v>
      </c>
      <c r="D3" s="1" t="s">
        <v>22</v>
      </c>
      <c r="E3" s="1" t="s">
        <v>29</v>
      </c>
      <c r="F3" s="1">
        <v>1223.6</v>
      </c>
      <c r="G3" s="1">
        <v>276.0</v>
      </c>
      <c r="H3" s="1">
        <v>120.0</v>
      </c>
      <c r="I3" s="4" t="s">
        <v>24</v>
      </c>
      <c r="J3" s="4" t="s">
        <v>24</v>
      </c>
      <c r="K3" s="4" t="s">
        <v>24</v>
      </c>
      <c r="L3" s="4" t="s">
        <v>24</v>
      </c>
      <c r="M3" s="4" t="s">
        <v>24</v>
      </c>
      <c r="N3" s="4" t="s">
        <v>24</v>
      </c>
      <c r="O3" s="4" t="s">
        <v>24</v>
      </c>
      <c r="P3" s="4" t="s">
        <v>25</v>
      </c>
      <c r="Q3" s="5">
        <v>21.0</v>
      </c>
      <c r="R3" s="1">
        <f>IFERROR(__xludf.DUMMYFUNCTION("IF(E3="""", 0, COUNTA(SPLIT(TRIM(E3), "" "")))"),82.0)</f>
        <v>82</v>
      </c>
      <c r="S3" s="6">
        <f t="shared" si="1"/>
        <v>0.00001908</v>
      </c>
    </row>
    <row r="4">
      <c r="A4" s="1" t="s">
        <v>30</v>
      </c>
      <c r="B4" s="1" t="s">
        <v>31</v>
      </c>
      <c r="C4" s="1" t="s">
        <v>32</v>
      </c>
      <c r="D4" s="1" t="s">
        <v>22</v>
      </c>
      <c r="E4" s="1" t="s">
        <v>33</v>
      </c>
      <c r="F4" s="1">
        <v>916.7</v>
      </c>
      <c r="G4" s="1">
        <v>273.0</v>
      </c>
      <c r="H4" s="1">
        <v>95.0</v>
      </c>
      <c r="I4" s="4" t="s">
        <v>24</v>
      </c>
      <c r="J4" s="4" t="s">
        <v>24</v>
      </c>
      <c r="K4" s="4" t="s">
        <v>24</v>
      </c>
      <c r="L4" s="4" t="s">
        <v>24</v>
      </c>
      <c r="M4" s="7" t="s">
        <v>34</v>
      </c>
      <c r="N4" s="4" t="s">
        <v>24</v>
      </c>
      <c r="O4" s="4" t="s">
        <v>24</v>
      </c>
      <c r="P4" s="4" t="s">
        <v>25</v>
      </c>
      <c r="Q4" s="8">
        <v>20.0</v>
      </c>
      <c r="R4" s="1">
        <f>IFERROR(__xludf.DUMMYFUNCTION("IF(E4="""", 0, COUNTA(SPLIT(TRIM(E4), "" "")))"),67.0)</f>
        <v>67</v>
      </c>
      <c r="S4" s="6">
        <f t="shared" si="1"/>
        <v>0.00001674</v>
      </c>
    </row>
    <row r="5">
      <c r="A5" s="1" t="s">
        <v>35</v>
      </c>
      <c r="B5" s="1" t="s">
        <v>36</v>
      </c>
      <c r="C5" s="1" t="s">
        <v>37</v>
      </c>
      <c r="D5" s="1" t="s">
        <v>22</v>
      </c>
      <c r="E5" s="1" t="s">
        <v>38</v>
      </c>
      <c r="F5" s="1">
        <v>1392.1</v>
      </c>
      <c r="G5" s="1">
        <v>273.0</v>
      </c>
      <c r="H5" s="1">
        <v>162.0</v>
      </c>
      <c r="I5" s="4" t="s">
        <v>24</v>
      </c>
      <c r="J5" s="4" t="s">
        <v>24</v>
      </c>
      <c r="K5" s="4" t="s">
        <v>24</v>
      </c>
      <c r="L5" s="7" t="s">
        <v>39</v>
      </c>
      <c r="M5" s="7" t="s">
        <v>34</v>
      </c>
      <c r="N5" s="4" t="s">
        <v>24</v>
      </c>
      <c r="O5" s="7" t="s">
        <v>34</v>
      </c>
      <c r="P5" s="7" t="s">
        <v>40</v>
      </c>
      <c r="Q5" s="8">
        <v>17.0</v>
      </c>
      <c r="R5" s="1">
        <f>IFERROR(__xludf.DUMMYFUNCTION("IF(E5="""", 0, COUNTA(SPLIT(TRIM(E5), "" "")))"),106.0)</f>
        <v>106</v>
      </c>
      <c r="S5" s="6">
        <f t="shared" si="1"/>
        <v>0.00002277</v>
      </c>
    </row>
    <row r="6">
      <c r="A6" s="1" t="s">
        <v>41</v>
      </c>
      <c r="B6" s="1" t="s">
        <v>42</v>
      </c>
      <c r="C6" s="1" t="s">
        <v>43</v>
      </c>
      <c r="D6" s="1" t="s">
        <v>22</v>
      </c>
      <c r="E6" s="1" t="s">
        <v>44</v>
      </c>
      <c r="F6" s="1">
        <v>1168.7</v>
      </c>
      <c r="G6" s="1">
        <v>262.0</v>
      </c>
      <c r="H6" s="1">
        <v>106.0</v>
      </c>
      <c r="I6" s="4" t="s">
        <v>24</v>
      </c>
      <c r="J6" s="4" t="s">
        <v>24</v>
      </c>
      <c r="K6" s="4" t="s">
        <v>24</v>
      </c>
      <c r="L6" s="4" t="s">
        <v>24</v>
      </c>
      <c r="M6" s="4" t="s">
        <v>24</v>
      </c>
      <c r="N6" s="4" t="s">
        <v>24</v>
      </c>
      <c r="O6" s="4" t="s">
        <v>24</v>
      </c>
      <c r="P6" s="4" t="s">
        <v>25</v>
      </c>
      <c r="Q6" s="5">
        <v>21.0</v>
      </c>
      <c r="R6" s="1">
        <f>IFERROR(__xludf.DUMMYFUNCTION("IF(E6="""", 0, COUNTA(SPLIT(TRIM(E6), "" "")))"),74.0)</f>
        <v>74</v>
      </c>
      <c r="S6" s="6">
        <f t="shared" si="1"/>
        <v>0.0000174</v>
      </c>
    </row>
    <row r="7">
      <c r="A7" s="1" t="s">
        <v>45</v>
      </c>
      <c r="B7" s="1" t="s">
        <v>46</v>
      </c>
      <c r="C7" s="1" t="s">
        <v>47</v>
      </c>
      <c r="D7" s="1" t="s">
        <v>22</v>
      </c>
      <c r="E7" s="1" t="s">
        <v>48</v>
      </c>
      <c r="F7" s="1">
        <v>880.5</v>
      </c>
      <c r="G7" s="1">
        <v>262.0</v>
      </c>
      <c r="H7" s="1">
        <v>103.0</v>
      </c>
      <c r="I7" s="4" t="s">
        <v>24</v>
      </c>
      <c r="J7" s="4" t="s">
        <v>24</v>
      </c>
      <c r="K7" s="4" t="s">
        <v>24</v>
      </c>
      <c r="L7" s="4" t="s">
        <v>24</v>
      </c>
      <c r="M7" s="7" t="s">
        <v>34</v>
      </c>
      <c r="N7" s="4" t="s">
        <v>24</v>
      </c>
      <c r="O7" s="4" t="s">
        <v>24</v>
      </c>
      <c r="P7" s="4" t="s">
        <v>25</v>
      </c>
      <c r="Q7" s="8">
        <v>20.0</v>
      </c>
      <c r="R7" s="1">
        <f>IFERROR(__xludf.DUMMYFUNCTION("IF(E7="""", 0, COUNTA(SPLIT(TRIM(E7), "" "")))"),73.0)</f>
        <v>73</v>
      </c>
      <c r="S7" s="6">
        <f t="shared" si="1"/>
        <v>0.00001713</v>
      </c>
    </row>
    <row r="8">
      <c r="A8" s="1" t="s">
        <v>49</v>
      </c>
      <c r="B8" s="1" t="s">
        <v>50</v>
      </c>
      <c r="C8" s="1" t="s">
        <v>51</v>
      </c>
      <c r="D8" s="1" t="s">
        <v>52</v>
      </c>
      <c r="E8" s="1" t="s">
        <v>53</v>
      </c>
      <c r="F8" s="1">
        <v>1064.3</v>
      </c>
      <c r="G8" s="1">
        <v>282.0</v>
      </c>
      <c r="H8" s="1">
        <v>121.0</v>
      </c>
      <c r="I8" s="4" t="s">
        <v>24</v>
      </c>
      <c r="J8" s="4" t="s">
        <v>24</v>
      </c>
      <c r="K8" s="4" t="s">
        <v>24</v>
      </c>
      <c r="L8" s="4" t="s">
        <v>24</v>
      </c>
      <c r="M8" s="4" t="s">
        <v>24</v>
      </c>
      <c r="N8" s="4" t="s">
        <v>24</v>
      </c>
      <c r="O8" s="4" t="s">
        <v>24</v>
      </c>
      <c r="P8" s="4" t="s">
        <v>25</v>
      </c>
      <c r="Q8" s="5">
        <v>21.0</v>
      </c>
      <c r="R8" s="1">
        <f>IFERROR(__xludf.DUMMYFUNCTION("IF(E8="""", 0, COUNTA(SPLIT(TRIM(E8), "" "")))"),79.0)</f>
        <v>79</v>
      </c>
      <c r="S8" s="6">
        <f t="shared" si="1"/>
        <v>0.00001935</v>
      </c>
    </row>
    <row r="9">
      <c r="A9" s="1" t="s">
        <v>54</v>
      </c>
      <c r="B9" s="1" t="s">
        <v>55</v>
      </c>
      <c r="C9" s="1" t="s">
        <v>56</v>
      </c>
      <c r="D9" s="1" t="s">
        <v>22</v>
      </c>
      <c r="E9" s="1" t="s">
        <v>57</v>
      </c>
      <c r="F9" s="1">
        <v>1133.4</v>
      </c>
      <c r="G9" s="1">
        <v>276.0</v>
      </c>
      <c r="H9" s="1">
        <v>125.0</v>
      </c>
      <c r="I9" s="4" t="s">
        <v>24</v>
      </c>
      <c r="J9" s="4" t="s">
        <v>24</v>
      </c>
      <c r="K9" s="4" t="s">
        <v>24</v>
      </c>
      <c r="L9" s="4" t="s">
        <v>24</v>
      </c>
      <c r="M9" s="7" t="s">
        <v>34</v>
      </c>
      <c r="N9" s="4" t="s">
        <v>24</v>
      </c>
      <c r="O9" s="4" t="s">
        <v>24</v>
      </c>
      <c r="P9" s="4" t="s">
        <v>25</v>
      </c>
      <c r="Q9" s="8">
        <v>20.0</v>
      </c>
      <c r="R9" s="1">
        <f>IFERROR(__xludf.DUMMYFUNCTION("IF(E9="""", 0, COUNTA(SPLIT(TRIM(E9), "" "")))"),78.0)</f>
        <v>78</v>
      </c>
      <c r="S9" s="6">
        <f t="shared" si="1"/>
        <v>0.00001953</v>
      </c>
    </row>
    <row r="10">
      <c r="A10" s="1" t="s">
        <v>58</v>
      </c>
      <c r="B10" s="1" t="s">
        <v>59</v>
      </c>
      <c r="C10" s="1" t="s">
        <v>60</v>
      </c>
      <c r="D10" s="1" t="s">
        <v>22</v>
      </c>
      <c r="E10" s="1" t="s">
        <v>61</v>
      </c>
      <c r="F10" s="1">
        <v>955.0</v>
      </c>
      <c r="G10" s="1">
        <v>265.0</v>
      </c>
      <c r="H10" s="1">
        <v>102.0</v>
      </c>
      <c r="I10" s="4" t="s">
        <v>24</v>
      </c>
      <c r="J10" s="4" t="s">
        <v>24</v>
      </c>
      <c r="K10" s="4" t="s">
        <v>24</v>
      </c>
      <c r="L10" s="4" t="s">
        <v>24</v>
      </c>
      <c r="M10" s="4" t="s">
        <v>24</v>
      </c>
      <c r="N10" s="4" t="s">
        <v>24</v>
      </c>
      <c r="O10" s="4" t="s">
        <v>24</v>
      </c>
      <c r="P10" s="4" t="s">
        <v>25</v>
      </c>
      <c r="Q10" s="5">
        <v>21.0</v>
      </c>
      <c r="R10" s="1">
        <f>IFERROR(__xludf.DUMMYFUNCTION("IF(E10="""", 0, COUNTA(SPLIT(TRIM(E10), "" "")))"),74.0)</f>
        <v>74</v>
      </c>
      <c r="S10" s="6">
        <f t="shared" si="1"/>
        <v>0.00001713</v>
      </c>
    </row>
    <row r="11">
      <c r="A11" s="1" t="s">
        <v>62</v>
      </c>
      <c r="B11" s="1" t="s">
        <v>63</v>
      </c>
      <c r="C11" s="1" t="s">
        <v>64</v>
      </c>
      <c r="D11" s="1" t="s">
        <v>22</v>
      </c>
      <c r="E11" s="1" t="s">
        <v>65</v>
      </c>
      <c r="F11" s="1">
        <v>1066.2</v>
      </c>
      <c r="G11" s="1">
        <v>274.0</v>
      </c>
      <c r="H11" s="1">
        <v>125.0</v>
      </c>
      <c r="I11" s="4" t="s">
        <v>24</v>
      </c>
      <c r="J11" s="4" t="s">
        <v>24</v>
      </c>
      <c r="K11" s="4" t="s">
        <v>24</v>
      </c>
      <c r="L11" s="7" t="s">
        <v>34</v>
      </c>
      <c r="M11" s="7" t="s">
        <v>34</v>
      </c>
      <c r="N11" s="4" t="s">
        <v>24</v>
      </c>
      <c r="O11" s="4" t="s">
        <v>24</v>
      </c>
      <c r="P11" s="4" t="s">
        <v>25</v>
      </c>
      <c r="Q11" s="8">
        <v>19.0</v>
      </c>
      <c r="R11" s="1">
        <f>IFERROR(__xludf.DUMMYFUNCTION("IF(E11="""", 0, COUNTA(SPLIT(TRIM(E11), "" "")))"),88.0)</f>
        <v>88</v>
      </c>
      <c r="S11" s="6">
        <f t="shared" si="1"/>
        <v>0.00001947</v>
      </c>
    </row>
    <row r="12">
      <c r="A12" s="1" t="s">
        <v>66</v>
      </c>
      <c r="B12" s="1" t="s">
        <v>67</v>
      </c>
      <c r="C12" s="1" t="s">
        <v>68</v>
      </c>
      <c r="D12" s="1" t="s">
        <v>22</v>
      </c>
      <c r="E12" s="1" t="s">
        <v>69</v>
      </c>
      <c r="F12" s="1">
        <v>835.3</v>
      </c>
      <c r="G12" s="1">
        <v>265.0</v>
      </c>
      <c r="H12" s="1">
        <v>91.0</v>
      </c>
      <c r="R12" s="1">
        <f>IFERROR(__xludf.DUMMYFUNCTION("IF(E12="""", 0, COUNTA(SPLIT(TRIM(E12), "" "")))"),63.0)</f>
        <v>63</v>
      </c>
      <c r="S12" s="6">
        <f t="shared" si="1"/>
        <v>0.00001614</v>
      </c>
    </row>
    <row r="13">
      <c r="A13" s="1" t="s">
        <v>70</v>
      </c>
      <c r="B13" s="1" t="s">
        <v>71</v>
      </c>
      <c r="C13" s="1" t="s">
        <v>72</v>
      </c>
      <c r="D13" s="1" t="s">
        <v>22</v>
      </c>
      <c r="E13" s="1" t="s">
        <v>73</v>
      </c>
      <c r="F13" s="1">
        <v>924.2</v>
      </c>
      <c r="G13" s="1">
        <v>272.0</v>
      </c>
      <c r="H13" s="1">
        <v>110.0</v>
      </c>
      <c r="R13" s="1">
        <f>IFERROR(__xludf.DUMMYFUNCTION("IF(E13="""", 0, COUNTA(SPLIT(TRIM(E13), "" "")))"),72.0)</f>
        <v>72</v>
      </c>
      <c r="S13" s="6">
        <f t="shared" si="1"/>
        <v>0.00001806</v>
      </c>
    </row>
    <row r="14">
      <c r="A14" s="1" t="s">
        <v>74</v>
      </c>
      <c r="B14" s="1" t="s">
        <v>75</v>
      </c>
      <c r="C14" s="1" t="s">
        <v>76</v>
      </c>
      <c r="D14" s="1" t="s">
        <v>22</v>
      </c>
      <c r="E14" s="1" t="s">
        <v>77</v>
      </c>
      <c r="F14" s="1">
        <v>973.2</v>
      </c>
      <c r="G14" s="1">
        <v>276.0</v>
      </c>
      <c r="H14" s="1">
        <v>110.0</v>
      </c>
      <c r="R14" s="1">
        <f>IFERROR(__xludf.DUMMYFUNCTION("IF(E14="""", 0, COUNTA(SPLIT(TRIM(E14), "" "")))"),69.0)</f>
        <v>69</v>
      </c>
      <c r="S14" s="6">
        <f t="shared" si="1"/>
        <v>0.00001818</v>
      </c>
    </row>
    <row r="15">
      <c r="A15" s="1" t="s">
        <v>78</v>
      </c>
      <c r="B15" s="1" t="s">
        <v>79</v>
      </c>
      <c r="C15" s="1" t="s">
        <v>80</v>
      </c>
      <c r="D15" s="1" t="s">
        <v>22</v>
      </c>
      <c r="E15" s="1" t="s">
        <v>81</v>
      </c>
      <c r="F15" s="1">
        <v>963.4</v>
      </c>
      <c r="G15" s="1">
        <v>265.0</v>
      </c>
      <c r="H15" s="1">
        <v>94.0</v>
      </c>
      <c r="R15" s="1">
        <f>IFERROR(__xludf.DUMMYFUNCTION("IF(E15="""", 0, COUNTA(SPLIT(TRIM(E15), "" "")))"),66.0)</f>
        <v>66</v>
      </c>
      <c r="S15" s="6">
        <f t="shared" si="1"/>
        <v>0.00001641</v>
      </c>
    </row>
    <row r="16">
      <c r="A16" s="1" t="s">
        <v>82</v>
      </c>
      <c r="B16" s="1" t="s">
        <v>83</v>
      </c>
      <c r="C16" s="1" t="s">
        <v>84</v>
      </c>
      <c r="D16" s="1" t="s">
        <v>22</v>
      </c>
      <c r="E16" s="1" t="s">
        <v>85</v>
      </c>
      <c r="F16" s="1">
        <v>959.3</v>
      </c>
      <c r="G16" s="1">
        <v>264.0</v>
      </c>
      <c r="H16" s="1">
        <v>101.0</v>
      </c>
      <c r="R16" s="1">
        <f>IFERROR(__xludf.DUMMYFUNCTION("IF(E16="""", 0, COUNTA(SPLIT(TRIM(E16), "" "")))"),70.0)</f>
        <v>70</v>
      </c>
      <c r="S16" s="6">
        <f t="shared" si="1"/>
        <v>0.00001701</v>
      </c>
    </row>
    <row r="17">
      <c r="A17" s="1" t="s">
        <v>86</v>
      </c>
      <c r="B17" s="1" t="s">
        <v>87</v>
      </c>
      <c r="C17" s="1" t="s">
        <v>88</v>
      </c>
      <c r="D17" s="1" t="s">
        <v>22</v>
      </c>
      <c r="E17" s="1" t="s">
        <v>89</v>
      </c>
      <c r="F17" s="1">
        <v>1209.0</v>
      </c>
      <c r="G17" s="1">
        <v>276.0</v>
      </c>
      <c r="H17" s="1">
        <v>102.0</v>
      </c>
      <c r="R17" s="1">
        <f>IFERROR(__xludf.DUMMYFUNCTION("IF(E17="""", 0, COUNTA(SPLIT(TRIM(E17), "" "")))"),68.0)</f>
        <v>68</v>
      </c>
      <c r="S17" s="6">
        <f t="shared" si="1"/>
        <v>0.00001746</v>
      </c>
    </row>
    <row r="18">
      <c r="A18" s="1" t="s">
        <v>90</v>
      </c>
      <c r="B18" s="1" t="s">
        <v>91</v>
      </c>
      <c r="C18" s="1" t="s">
        <v>92</v>
      </c>
      <c r="D18" s="1" t="s">
        <v>22</v>
      </c>
      <c r="E18" s="1" t="s">
        <v>93</v>
      </c>
      <c r="F18" s="1">
        <v>881.3</v>
      </c>
      <c r="G18" s="1">
        <v>281.0</v>
      </c>
      <c r="H18" s="1">
        <v>86.0</v>
      </c>
      <c r="R18" s="1">
        <f>IFERROR(__xludf.DUMMYFUNCTION("IF(E18="""", 0, COUNTA(SPLIT(TRIM(E18), "" "")))"),53.0)</f>
        <v>53</v>
      </c>
      <c r="S18" s="6">
        <f t="shared" si="1"/>
        <v>0.00001617</v>
      </c>
    </row>
    <row r="19">
      <c r="A19" s="1" t="s">
        <v>94</v>
      </c>
      <c r="B19" s="1" t="s">
        <v>95</v>
      </c>
      <c r="C19" s="1" t="s">
        <v>96</v>
      </c>
      <c r="D19" s="1" t="s">
        <v>22</v>
      </c>
      <c r="E19" s="1" t="s">
        <v>97</v>
      </c>
      <c r="F19" s="1">
        <v>1221.9</v>
      </c>
      <c r="G19" s="1">
        <v>267.0</v>
      </c>
      <c r="H19" s="1">
        <v>98.0</v>
      </c>
      <c r="R19" s="1">
        <f>IFERROR(__xludf.DUMMYFUNCTION("IF(E19="""", 0, COUNTA(SPLIT(TRIM(E19), "" "")))"),67.0)</f>
        <v>67</v>
      </c>
      <c r="S19" s="6">
        <f t="shared" si="1"/>
        <v>0.00001683</v>
      </c>
    </row>
    <row r="20">
      <c r="A20" s="1" t="s">
        <v>98</v>
      </c>
      <c r="B20" s="1" t="s">
        <v>99</v>
      </c>
      <c r="C20" s="1" t="s">
        <v>100</v>
      </c>
      <c r="D20" s="1" t="s">
        <v>101</v>
      </c>
      <c r="E20" s="1" t="s">
        <v>102</v>
      </c>
      <c r="F20" s="1">
        <v>1132.8</v>
      </c>
      <c r="G20" s="1">
        <v>268.0</v>
      </c>
      <c r="H20" s="1">
        <v>121.0</v>
      </c>
      <c r="R20" s="1">
        <f>IFERROR(__xludf.DUMMYFUNCTION("IF(E20="""", 0, COUNTA(SPLIT(TRIM(E20), "" "")))"),81.0)</f>
        <v>81</v>
      </c>
      <c r="S20" s="6">
        <f t="shared" si="1"/>
        <v>0.00001893</v>
      </c>
    </row>
    <row r="21" ht="15.75" customHeight="1">
      <c r="A21" s="1" t="s">
        <v>103</v>
      </c>
      <c r="B21" s="1" t="s">
        <v>104</v>
      </c>
      <c r="C21" s="1" t="s">
        <v>105</v>
      </c>
      <c r="D21" s="1" t="s">
        <v>106</v>
      </c>
      <c r="E21" s="1" t="s">
        <v>107</v>
      </c>
      <c r="F21" s="1">
        <v>1052.1</v>
      </c>
      <c r="G21" s="1">
        <v>267.0</v>
      </c>
      <c r="H21" s="1">
        <v>110.0</v>
      </c>
      <c r="R21" s="1">
        <f>IFERROR(__xludf.DUMMYFUNCTION("IF(E21="""", 0, COUNTA(SPLIT(TRIM(E21), "" "")))"),77.0)</f>
        <v>77</v>
      </c>
      <c r="S21" s="6">
        <f t="shared" si="1"/>
        <v>0.00001791</v>
      </c>
    </row>
    <row r="22" ht="15.75" customHeight="1">
      <c r="A22" s="1" t="s">
        <v>108</v>
      </c>
      <c r="B22" s="1" t="s">
        <v>109</v>
      </c>
      <c r="C22" s="1" t="s">
        <v>110</v>
      </c>
      <c r="D22" s="1" t="s">
        <v>22</v>
      </c>
      <c r="E22" s="1" t="s">
        <v>111</v>
      </c>
      <c r="F22" s="1">
        <v>981.3</v>
      </c>
      <c r="G22" s="1">
        <v>265.0</v>
      </c>
      <c r="H22" s="1">
        <v>103.0</v>
      </c>
      <c r="R22" s="1">
        <f>IFERROR(__xludf.DUMMYFUNCTION("IF(E22="""", 0, COUNTA(SPLIT(TRIM(E22), "" "")))"),68.0)</f>
        <v>68</v>
      </c>
      <c r="S22" s="6">
        <f t="shared" si="1"/>
        <v>0.00001722</v>
      </c>
    </row>
    <row r="23" ht="15.75" customHeight="1">
      <c r="A23" s="1" t="s">
        <v>112</v>
      </c>
      <c r="B23" s="1" t="s">
        <v>113</v>
      </c>
      <c r="C23" s="1" t="s">
        <v>114</v>
      </c>
      <c r="D23" s="1" t="s">
        <v>115</v>
      </c>
      <c r="E23" s="1" t="s">
        <v>116</v>
      </c>
      <c r="F23" s="1">
        <v>935.6</v>
      </c>
      <c r="G23" s="1">
        <v>266.0</v>
      </c>
      <c r="H23" s="1">
        <v>101.0</v>
      </c>
      <c r="R23" s="1">
        <f>IFERROR(__xludf.DUMMYFUNCTION("IF(E23="""", 0, COUNTA(SPLIT(TRIM(E23), "" "")))"),67.0)</f>
        <v>67</v>
      </c>
      <c r="S23" s="6">
        <f t="shared" si="1"/>
        <v>0.00001707</v>
      </c>
    </row>
    <row r="24" ht="15.75" customHeight="1">
      <c r="A24" s="1" t="s">
        <v>117</v>
      </c>
      <c r="B24" s="1" t="s">
        <v>118</v>
      </c>
      <c r="C24" s="1" t="s">
        <v>119</v>
      </c>
      <c r="D24" s="1" t="s">
        <v>120</v>
      </c>
      <c r="E24" s="1" t="s">
        <v>121</v>
      </c>
      <c r="F24" s="1">
        <v>1171.0</v>
      </c>
      <c r="G24" s="1">
        <v>269.0</v>
      </c>
      <c r="H24" s="1">
        <v>110.0</v>
      </c>
      <c r="R24" s="1">
        <f>IFERROR(__xludf.DUMMYFUNCTION("IF(E24="""", 0, COUNTA(SPLIT(TRIM(E24), "" "")))"),67.0)</f>
        <v>67</v>
      </c>
      <c r="S24" s="6">
        <f t="shared" si="1"/>
        <v>0.00001797</v>
      </c>
    </row>
    <row r="25" ht="15.75" customHeight="1">
      <c r="A25" s="1" t="s">
        <v>122</v>
      </c>
      <c r="B25" s="1" t="s">
        <v>123</v>
      </c>
      <c r="C25" s="1" t="s">
        <v>124</v>
      </c>
      <c r="D25" s="1" t="s">
        <v>120</v>
      </c>
      <c r="E25" s="1" t="s">
        <v>125</v>
      </c>
      <c r="F25" s="1">
        <v>849.5</v>
      </c>
      <c r="G25" s="1">
        <v>261.0</v>
      </c>
      <c r="H25" s="1">
        <v>91.0</v>
      </c>
      <c r="R25" s="1">
        <f>IFERROR(__xludf.DUMMYFUNCTION("IF(E25="""", 0, COUNTA(SPLIT(TRIM(E25), "" "")))"),70.0)</f>
        <v>70</v>
      </c>
      <c r="S25" s="6">
        <f t="shared" si="1"/>
        <v>0.00001602</v>
      </c>
    </row>
    <row r="26" ht="15.75" customHeight="1">
      <c r="A26" s="1" t="s">
        <v>126</v>
      </c>
      <c r="B26" s="1" t="s">
        <v>127</v>
      </c>
      <c r="C26" s="1" t="s">
        <v>128</v>
      </c>
      <c r="D26" s="1" t="s">
        <v>120</v>
      </c>
      <c r="E26" s="1" t="s">
        <v>129</v>
      </c>
      <c r="F26" s="1">
        <v>998.3</v>
      </c>
      <c r="G26" s="1">
        <v>263.0</v>
      </c>
      <c r="H26" s="1">
        <v>101.0</v>
      </c>
      <c r="R26" s="1">
        <f>IFERROR(__xludf.DUMMYFUNCTION("IF(E26="""", 0, COUNTA(SPLIT(TRIM(E26), "" "")))"),69.0)</f>
        <v>69</v>
      </c>
      <c r="S26" s="6">
        <f t="shared" si="1"/>
        <v>0.00001698</v>
      </c>
    </row>
    <row r="27" ht="15.75" customHeight="1">
      <c r="A27" s="1" t="s">
        <v>130</v>
      </c>
      <c r="B27" s="1" t="s">
        <v>131</v>
      </c>
      <c r="C27" s="1" t="s">
        <v>132</v>
      </c>
      <c r="D27" s="1" t="s">
        <v>133</v>
      </c>
      <c r="E27" s="1" t="s">
        <v>134</v>
      </c>
      <c r="F27" s="1">
        <v>853.1</v>
      </c>
      <c r="G27" s="1">
        <v>262.0</v>
      </c>
      <c r="H27" s="1">
        <v>91.0</v>
      </c>
      <c r="R27" s="1">
        <f>IFERROR(__xludf.DUMMYFUNCTION("IF(E27="""", 0, COUNTA(SPLIT(TRIM(E27), "" "")))"),67.0)</f>
        <v>67</v>
      </c>
      <c r="S27" s="6">
        <f t="shared" si="1"/>
        <v>0.00001605</v>
      </c>
    </row>
    <row r="28" ht="15.75" customHeight="1">
      <c r="A28" s="1" t="s">
        <v>135</v>
      </c>
      <c r="B28" s="1" t="s">
        <v>136</v>
      </c>
      <c r="C28" s="1" t="s">
        <v>132</v>
      </c>
      <c r="D28" s="1" t="s">
        <v>133</v>
      </c>
      <c r="E28" s="1" t="s">
        <v>137</v>
      </c>
      <c r="F28" s="1">
        <v>848.1</v>
      </c>
      <c r="G28" s="1">
        <v>268.0</v>
      </c>
      <c r="H28" s="1">
        <v>90.0</v>
      </c>
      <c r="R28" s="1">
        <f>IFERROR(__xludf.DUMMYFUNCTION("IF(E28="""", 0, COUNTA(SPLIT(TRIM(E28), "" "")))"),65.0)</f>
        <v>65</v>
      </c>
      <c r="S28" s="6">
        <f t="shared" si="1"/>
        <v>0.00001614</v>
      </c>
    </row>
    <row r="29" ht="15.75" customHeight="1">
      <c r="A29" s="1" t="s">
        <v>138</v>
      </c>
      <c r="B29" s="1" t="s">
        <v>139</v>
      </c>
      <c r="C29" s="1" t="s">
        <v>140</v>
      </c>
      <c r="D29" s="1" t="s">
        <v>120</v>
      </c>
      <c r="E29" s="1" t="s">
        <v>141</v>
      </c>
      <c r="F29" s="1">
        <v>952.0</v>
      </c>
      <c r="G29" s="1">
        <v>261.0</v>
      </c>
      <c r="H29" s="1">
        <v>97.0</v>
      </c>
      <c r="R29" s="1">
        <f>IFERROR(__xludf.DUMMYFUNCTION("IF(E29="""", 0, COUNTA(SPLIT(TRIM(E29), "" "")))"),73.0)</f>
        <v>73</v>
      </c>
      <c r="S29" s="6">
        <f t="shared" si="1"/>
        <v>0.00001656</v>
      </c>
    </row>
    <row r="30" ht="15.75" customHeight="1">
      <c r="A30" s="1" t="s">
        <v>142</v>
      </c>
      <c r="B30" s="1" t="s">
        <v>143</v>
      </c>
      <c r="C30" s="1" t="s">
        <v>144</v>
      </c>
      <c r="D30" s="1" t="s">
        <v>120</v>
      </c>
      <c r="E30" s="1" t="s">
        <v>145</v>
      </c>
      <c r="F30" s="1">
        <v>1419.1</v>
      </c>
      <c r="G30" s="1">
        <v>266.0</v>
      </c>
      <c r="H30" s="1">
        <v>113.0</v>
      </c>
      <c r="R30" s="1">
        <f>IFERROR(__xludf.DUMMYFUNCTION("IF(E30="""", 0, COUNTA(SPLIT(TRIM(E30), "" "")))"),82.0)</f>
        <v>82</v>
      </c>
      <c r="S30" s="6">
        <f t="shared" si="1"/>
        <v>0.00001815</v>
      </c>
    </row>
    <row r="31" ht="15.75" customHeight="1">
      <c r="A31" s="1" t="s">
        <v>146</v>
      </c>
      <c r="B31" s="1" t="s">
        <v>147</v>
      </c>
      <c r="C31" s="1" t="s">
        <v>148</v>
      </c>
      <c r="D31" s="1" t="s">
        <v>120</v>
      </c>
      <c r="E31" s="1" t="s">
        <v>149</v>
      </c>
      <c r="F31" s="1">
        <v>1025.6</v>
      </c>
      <c r="G31" s="1">
        <v>263.0</v>
      </c>
      <c r="H31" s="1">
        <v>106.0</v>
      </c>
      <c r="R31" s="1">
        <f>IFERROR(__xludf.DUMMYFUNCTION("IF(E31="""", 0, COUNTA(SPLIT(TRIM(E31), "" "")))"),74.0)</f>
        <v>74</v>
      </c>
      <c r="S31" s="6">
        <f t="shared" si="1"/>
        <v>0.00001743</v>
      </c>
    </row>
    <row r="32" ht="15.75" customHeight="1">
      <c r="A32" s="1" t="s">
        <v>150</v>
      </c>
      <c r="B32" s="1" t="s">
        <v>151</v>
      </c>
      <c r="C32" s="1" t="s">
        <v>152</v>
      </c>
      <c r="D32" s="1" t="s">
        <v>153</v>
      </c>
      <c r="E32" s="1" t="s">
        <v>154</v>
      </c>
      <c r="F32" s="1">
        <v>917.3</v>
      </c>
      <c r="G32" s="1">
        <v>272.0</v>
      </c>
      <c r="H32" s="1">
        <v>88.0</v>
      </c>
      <c r="R32" s="1">
        <f>IFERROR(__xludf.DUMMYFUNCTION("IF(E32="""", 0, COUNTA(SPLIT(TRIM(E32), "" "")))"),62.0)</f>
        <v>62</v>
      </c>
      <c r="S32" s="6">
        <f t="shared" si="1"/>
        <v>0.00001608</v>
      </c>
    </row>
    <row r="33" ht="15.75" customHeight="1">
      <c r="A33" s="1" t="s">
        <v>155</v>
      </c>
      <c r="B33" s="1" t="s">
        <v>156</v>
      </c>
      <c r="C33" s="1" t="s">
        <v>152</v>
      </c>
      <c r="D33" s="1" t="s">
        <v>153</v>
      </c>
      <c r="E33" s="1" t="s">
        <v>157</v>
      </c>
      <c r="F33" s="1">
        <v>1198.3</v>
      </c>
      <c r="G33" s="1">
        <v>267.0</v>
      </c>
      <c r="H33" s="1">
        <v>96.0</v>
      </c>
      <c r="R33" s="1">
        <f>IFERROR(__xludf.DUMMYFUNCTION("IF(E33="""", 0, COUNTA(SPLIT(TRIM(E33), "" "")))"),71.0)</f>
        <v>71</v>
      </c>
      <c r="S33" s="6">
        <f t="shared" si="1"/>
        <v>0.00001665</v>
      </c>
    </row>
    <row r="34" ht="15.75" customHeight="1">
      <c r="A34" s="1" t="s">
        <v>158</v>
      </c>
      <c r="B34" s="1" t="s">
        <v>159</v>
      </c>
      <c r="C34" s="1" t="s">
        <v>160</v>
      </c>
      <c r="D34" s="1" t="s">
        <v>22</v>
      </c>
      <c r="E34" s="1" t="s">
        <v>161</v>
      </c>
      <c r="F34" s="1">
        <v>1289.3</v>
      </c>
      <c r="G34" s="1">
        <v>273.0</v>
      </c>
      <c r="H34" s="1">
        <v>135.0</v>
      </c>
      <c r="R34" s="1">
        <f>IFERROR(__xludf.DUMMYFUNCTION("IF(E34="""", 0, COUNTA(SPLIT(TRIM(E34), "" "")))"),90.0)</f>
        <v>90</v>
      </c>
      <c r="S34" s="6">
        <f t="shared" si="1"/>
        <v>0.00002034</v>
      </c>
    </row>
    <row r="35" ht="15.75" customHeight="1">
      <c r="A35" s="1" t="s">
        <v>162</v>
      </c>
      <c r="B35" s="1" t="s">
        <v>163</v>
      </c>
      <c r="C35" s="1" t="s">
        <v>80</v>
      </c>
      <c r="D35" s="1" t="s">
        <v>22</v>
      </c>
      <c r="E35" s="1" t="s">
        <v>164</v>
      </c>
      <c r="F35" s="1">
        <v>905.0</v>
      </c>
      <c r="G35" s="1">
        <v>264.0</v>
      </c>
      <c r="H35" s="1">
        <v>105.0</v>
      </c>
      <c r="R35" s="1">
        <f>IFERROR(__xludf.DUMMYFUNCTION("IF(E35="""", 0, COUNTA(SPLIT(TRIM(E35), "" "")))"),73.0)</f>
        <v>73</v>
      </c>
      <c r="S35" s="6">
        <f t="shared" si="1"/>
        <v>0.00001737</v>
      </c>
    </row>
    <row r="36" ht="15.75" customHeight="1">
      <c r="A36" s="1" t="s">
        <v>165</v>
      </c>
      <c r="B36" s="1" t="s">
        <v>166</v>
      </c>
      <c r="C36" s="1" t="s">
        <v>167</v>
      </c>
      <c r="D36" s="1" t="s">
        <v>168</v>
      </c>
      <c r="E36" s="1" t="s">
        <v>169</v>
      </c>
      <c r="F36" s="1">
        <v>803.3</v>
      </c>
      <c r="G36" s="1">
        <v>264.0</v>
      </c>
      <c r="H36" s="1">
        <v>81.0</v>
      </c>
      <c r="R36" s="1">
        <f>IFERROR(__xludf.DUMMYFUNCTION("IF(E36="""", 0, COUNTA(SPLIT(TRIM(E36), "" "")))"),56.0)</f>
        <v>56</v>
      </c>
      <c r="S36" s="6">
        <f t="shared" si="1"/>
        <v>0.00001521</v>
      </c>
    </row>
    <row r="37" ht="15.75" customHeight="1">
      <c r="A37" s="1" t="s">
        <v>170</v>
      </c>
      <c r="B37" s="1" t="s">
        <v>171</v>
      </c>
      <c r="C37" s="1" t="s">
        <v>172</v>
      </c>
      <c r="D37" s="1" t="s">
        <v>22</v>
      </c>
      <c r="E37" s="1" t="s">
        <v>173</v>
      </c>
      <c r="F37" s="1">
        <v>1024.2</v>
      </c>
      <c r="G37" s="1">
        <v>270.0</v>
      </c>
      <c r="H37" s="1">
        <v>109.0</v>
      </c>
      <c r="R37" s="1">
        <f>IFERROR(__xludf.DUMMYFUNCTION("IF(E37="""", 0, COUNTA(SPLIT(TRIM(E37), "" "")))"),81.0)</f>
        <v>81</v>
      </c>
      <c r="S37" s="6">
        <f t="shared" si="1"/>
        <v>0.00001791</v>
      </c>
    </row>
    <row r="38" ht="15.75" customHeight="1">
      <c r="A38" s="1" t="s">
        <v>174</v>
      </c>
      <c r="B38" s="1" t="s">
        <v>175</v>
      </c>
      <c r="C38" s="1" t="s">
        <v>176</v>
      </c>
      <c r="D38" s="1" t="s">
        <v>177</v>
      </c>
      <c r="E38" s="1" t="s">
        <v>178</v>
      </c>
      <c r="F38" s="1">
        <v>919.9</v>
      </c>
      <c r="G38" s="1">
        <v>267.0</v>
      </c>
      <c r="H38" s="1">
        <v>95.0</v>
      </c>
      <c r="R38" s="1">
        <f>IFERROR(__xludf.DUMMYFUNCTION("IF(E38="""", 0, COUNTA(SPLIT(TRIM(E38), "" "")))"),72.0)</f>
        <v>72</v>
      </c>
      <c r="S38" s="6">
        <f t="shared" si="1"/>
        <v>0.00001656</v>
      </c>
    </row>
    <row r="39" ht="15.75" customHeight="1">
      <c r="A39" s="1" t="s">
        <v>179</v>
      </c>
      <c r="B39" s="1" t="s">
        <v>180</v>
      </c>
      <c r="C39" s="1" t="s">
        <v>181</v>
      </c>
      <c r="D39" s="1" t="s">
        <v>177</v>
      </c>
      <c r="E39" s="1" t="s">
        <v>182</v>
      </c>
      <c r="F39" s="1">
        <v>1023.3</v>
      </c>
      <c r="G39" s="1">
        <v>283.0</v>
      </c>
      <c r="H39" s="1">
        <v>102.0</v>
      </c>
      <c r="R39" s="1">
        <f>IFERROR(__xludf.DUMMYFUNCTION("IF(E39="""", 0, COUNTA(SPLIT(TRIM(E39), "" "")))"),60.0)</f>
        <v>60</v>
      </c>
      <c r="S39" s="6">
        <f t="shared" si="1"/>
        <v>0.00001767</v>
      </c>
    </row>
    <row r="40" ht="15.75" customHeight="1">
      <c r="A40" s="1" t="s">
        <v>183</v>
      </c>
      <c r="B40" s="1" t="s">
        <v>184</v>
      </c>
      <c r="C40" s="1" t="s">
        <v>110</v>
      </c>
      <c r="D40" s="1" t="s">
        <v>22</v>
      </c>
      <c r="E40" s="1" t="s">
        <v>185</v>
      </c>
      <c r="F40" s="1">
        <v>1025.7</v>
      </c>
      <c r="G40" s="1">
        <v>264.0</v>
      </c>
      <c r="H40" s="1">
        <v>102.0</v>
      </c>
      <c r="R40" s="1">
        <f>IFERROR(__xludf.DUMMYFUNCTION("IF(E40="""", 0, COUNTA(SPLIT(TRIM(E40), "" "")))"),72.0)</f>
        <v>72</v>
      </c>
      <c r="S40" s="6">
        <f t="shared" si="1"/>
        <v>0.0000171</v>
      </c>
    </row>
    <row r="41" ht="15.75" customHeight="1">
      <c r="A41" s="1" t="s">
        <v>186</v>
      </c>
      <c r="B41" s="1" t="s">
        <v>187</v>
      </c>
      <c r="C41" s="1" t="s">
        <v>181</v>
      </c>
      <c r="D41" s="1" t="s">
        <v>22</v>
      </c>
      <c r="E41" s="1" t="s">
        <v>188</v>
      </c>
      <c r="F41" s="1">
        <v>864.1</v>
      </c>
      <c r="G41" s="1">
        <v>264.0</v>
      </c>
      <c r="H41" s="1">
        <v>93.0</v>
      </c>
      <c r="R41" s="1">
        <f>IFERROR(__xludf.DUMMYFUNCTION("IF(E41="""", 0, COUNTA(SPLIT(TRIM(E41), "" "")))"),60.0)</f>
        <v>60</v>
      </c>
      <c r="S41" s="6">
        <f t="shared" si="1"/>
        <v>0.00001629</v>
      </c>
    </row>
    <row r="42" ht="15.75" customHeight="1">
      <c r="A42" s="1" t="s">
        <v>189</v>
      </c>
      <c r="B42" s="1" t="s">
        <v>190</v>
      </c>
      <c r="C42" s="1" t="s">
        <v>191</v>
      </c>
      <c r="D42" s="1" t="s">
        <v>192</v>
      </c>
      <c r="E42" s="1" t="s">
        <v>193</v>
      </c>
      <c r="F42" s="1">
        <v>841.6</v>
      </c>
      <c r="G42" s="1">
        <v>266.0</v>
      </c>
      <c r="H42" s="1">
        <v>91.0</v>
      </c>
      <c r="R42" s="1">
        <f>IFERROR(__xludf.DUMMYFUNCTION("IF(E42="""", 0, COUNTA(SPLIT(TRIM(E42), "" "")))"),58.0)</f>
        <v>58</v>
      </c>
      <c r="S42" s="6">
        <f t="shared" si="1"/>
        <v>0.00001617</v>
      </c>
    </row>
    <row r="43" ht="15.75" customHeight="1">
      <c r="A43" s="1" t="s">
        <v>194</v>
      </c>
      <c r="B43" s="1" t="s">
        <v>195</v>
      </c>
      <c r="C43" s="1" t="s">
        <v>181</v>
      </c>
      <c r="D43" s="1" t="s">
        <v>22</v>
      </c>
      <c r="E43" s="1" t="s">
        <v>196</v>
      </c>
      <c r="F43" s="1">
        <v>909.8</v>
      </c>
      <c r="G43" s="1">
        <v>264.0</v>
      </c>
      <c r="H43" s="1">
        <v>101.0</v>
      </c>
      <c r="R43" s="1">
        <f>IFERROR(__xludf.DUMMYFUNCTION("IF(E43="""", 0, COUNTA(SPLIT(TRIM(E43), "" "")))"),76.0)</f>
        <v>76</v>
      </c>
      <c r="S43" s="6">
        <f t="shared" si="1"/>
        <v>0.00001701</v>
      </c>
    </row>
    <row r="44" ht="15.75" customHeight="1">
      <c r="A44" s="1" t="s">
        <v>197</v>
      </c>
      <c r="B44" s="1" t="s">
        <v>198</v>
      </c>
      <c r="C44" s="1" t="s">
        <v>181</v>
      </c>
      <c r="D44" s="1" t="s">
        <v>192</v>
      </c>
      <c r="E44" s="1" t="s">
        <v>199</v>
      </c>
      <c r="F44" s="1">
        <v>1066.9</v>
      </c>
      <c r="G44" s="1">
        <v>267.0</v>
      </c>
      <c r="H44" s="1">
        <v>100.0</v>
      </c>
      <c r="R44" s="1">
        <f>IFERROR(__xludf.DUMMYFUNCTION("IF(E44="""", 0, COUNTA(SPLIT(TRIM(E44), "" "")))"),68.0)</f>
        <v>68</v>
      </c>
      <c r="S44" s="6">
        <f t="shared" si="1"/>
        <v>0.00001701</v>
      </c>
    </row>
    <row r="45" ht="15.75" customHeight="1">
      <c r="A45" s="1" t="s">
        <v>200</v>
      </c>
      <c r="B45" s="1" t="s">
        <v>201</v>
      </c>
      <c r="C45" s="1" t="s">
        <v>202</v>
      </c>
      <c r="D45" s="1" t="s">
        <v>203</v>
      </c>
      <c r="E45" s="1" t="s">
        <v>204</v>
      </c>
      <c r="F45" s="1">
        <v>1142.6</v>
      </c>
      <c r="G45" s="1">
        <v>283.0</v>
      </c>
      <c r="H45" s="1">
        <v>127.0</v>
      </c>
      <c r="R45" s="1">
        <f>IFERROR(__xludf.DUMMYFUNCTION("IF(E45="""", 0, COUNTA(SPLIT(TRIM(E45), "" "")))"),82.0)</f>
        <v>82</v>
      </c>
      <c r="S45" s="6">
        <f t="shared" si="1"/>
        <v>0.00001992</v>
      </c>
    </row>
    <row r="46" ht="15.75" customHeight="1">
      <c r="A46" s="1" t="s">
        <v>205</v>
      </c>
      <c r="B46" s="1" t="s">
        <v>206</v>
      </c>
      <c r="C46" s="1" t="s">
        <v>84</v>
      </c>
      <c r="D46" s="1" t="s">
        <v>22</v>
      </c>
      <c r="E46" s="1" t="s">
        <v>207</v>
      </c>
      <c r="F46" s="1">
        <v>1168.0</v>
      </c>
      <c r="G46" s="1">
        <v>277.0</v>
      </c>
      <c r="H46" s="1">
        <v>129.0</v>
      </c>
      <c r="R46" s="1">
        <f>IFERROR(__xludf.DUMMYFUNCTION("IF(E46="""", 0, COUNTA(SPLIT(TRIM(E46), "" "")))"),90.0)</f>
        <v>90</v>
      </c>
      <c r="S46" s="6">
        <f t="shared" si="1"/>
        <v>0.00001992</v>
      </c>
    </row>
    <row r="47" ht="15.75" customHeight="1">
      <c r="A47" s="1" t="s">
        <v>208</v>
      </c>
      <c r="B47" s="1" t="s">
        <v>209</v>
      </c>
      <c r="C47" s="1" t="s">
        <v>181</v>
      </c>
      <c r="D47" s="1" t="s">
        <v>210</v>
      </c>
      <c r="E47" s="1" t="s">
        <v>211</v>
      </c>
      <c r="F47" s="1">
        <v>932.1</v>
      </c>
      <c r="G47" s="1">
        <v>273.0</v>
      </c>
      <c r="H47" s="1">
        <v>94.0</v>
      </c>
      <c r="R47" s="1">
        <f>IFERROR(__xludf.DUMMYFUNCTION("IF(E47="""", 0, COUNTA(SPLIT(TRIM(E47), "" "")))"),56.0)</f>
        <v>56</v>
      </c>
      <c r="S47" s="6">
        <f t="shared" si="1"/>
        <v>0.00001665</v>
      </c>
    </row>
    <row r="48" ht="15.75" customHeight="1">
      <c r="A48" s="1" t="s">
        <v>212</v>
      </c>
      <c r="B48" s="1" t="s">
        <v>213</v>
      </c>
      <c r="C48" s="1" t="s">
        <v>214</v>
      </c>
      <c r="D48" s="1" t="s">
        <v>120</v>
      </c>
      <c r="E48" s="1" t="s">
        <v>215</v>
      </c>
      <c r="F48" s="1">
        <v>1165.0</v>
      </c>
      <c r="G48" s="1">
        <v>275.0</v>
      </c>
      <c r="H48" s="1">
        <v>100.0</v>
      </c>
      <c r="R48" s="1">
        <f>IFERROR(__xludf.DUMMYFUNCTION("IF(E48="""", 0, COUNTA(SPLIT(TRIM(E48), "" "")))"),64.0)</f>
        <v>64</v>
      </c>
      <c r="S48" s="6">
        <f t="shared" si="1"/>
        <v>0.00001725</v>
      </c>
    </row>
    <row r="49" ht="15.75" customHeight="1">
      <c r="A49" s="1" t="s">
        <v>216</v>
      </c>
      <c r="B49" s="1" t="s">
        <v>217</v>
      </c>
      <c r="C49" s="1" t="s">
        <v>218</v>
      </c>
      <c r="D49" s="1" t="s">
        <v>219</v>
      </c>
      <c r="E49" s="1" t="s">
        <v>220</v>
      </c>
      <c r="F49" s="1">
        <v>1347.6</v>
      </c>
      <c r="G49" s="1">
        <v>285.0</v>
      </c>
      <c r="H49" s="1">
        <v>138.0</v>
      </c>
      <c r="R49" s="1">
        <f>IFERROR(__xludf.DUMMYFUNCTION("IF(E49="""", 0, COUNTA(SPLIT(TRIM(E49), "" "")))"),79.0)</f>
        <v>79</v>
      </c>
      <c r="S49" s="6">
        <f t="shared" si="1"/>
        <v>0.00002097</v>
      </c>
    </row>
    <row r="50" ht="15.75" customHeight="1">
      <c r="A50" s="1" t="s">
        <v>221</v>
      </c>
      <c r="B50" s="1" t="s">
        <v>222</v>
      </c>
      <c r="C50" s="1" t="s">
        <v>223</v>
      </c>
      <c r="D50" s="1" t="s">
        <v>219</v>
      </c>
      <c r="E50" s="1" t="s">
        <v>224</v>
      </c>
      <c r="F50" s="1">
        <v>1103.5</v>
      </c>
      <c r="G50" s="1">
        <v>274.0</v>
      </c>
      <c r="H50" s="1">
        <v>110.0</v>
      </c>
      <c r="R50" s="1">
        <f>IFERROR(__xludf.DUMMYFUNCTION("IF(E50="""", 0, COUNTA(SPLIT(TRIM(E50), "" "")))"),70.0)</f>
        <v>70</v>
      </c>
      <c r="S50" s="6">
        <f t="shared" si="1"/>
        <v>0.00001812</v>
      </c>
    </row>
    <row r="51" ht="15.75" customHeight="1">
      <c r="A51" s="1" t="s">
        <v>225</v>
      </c>
      <c r="B51" s="1" t="s">
        <v>226</v>
      </c>
      <c r="C51" s="1" t="s">
        <v>223</v>
      </c>
      <c r="D51" s="1" t="s">
        <v>219</v>
      </c>
      <c r="E51" s="1" t="s">
        <v>227</v>
      </c>
      <c r="F51" s="1">
        <v>1111.4</v>
      </c>
      <c r="G51" s="1">
        <v>280.0</v>
      </c>
      <c r="H51" s="1">
        <v>110.0</v>
      </c>
      <c r="R51" s="1">
        <f>IFERROR(__xludf.DUMMYFUNCTION("IF(E51="""", 0, COUNTA(SPLIT(TRIM(E51), "" "")))"),64.0)</f>
        <v>64</v>
      </c>
      <c r="S51" s="6">
        <f t="shared" si="1"/>
        <v>0.0000183</v>
      </c>
    </row>
    <row r="52" ht="15.75" customHeight="1">
      <c r="S52" s="4"/>
    </row>
    <row r="53" ht="15.75" customHeight="1">
      <c r="S53" s="4"/>
    </row>
    <row r="54" ht="15.75" customHeight="1">
      <c r="S54" s="4"/>
    </row>
    <row r="55" ht="15.75" customHeight="1">
      <c r="S55" s="4"/>
    </row>
    <row r="56" ht="15.75" customHeight="1">
      <c r="S56" s="4"/>
    </row>
    <row r="57" ht="15.75" customHeight="1">
      <c r="S57" s="4"/>
    </row>
    <row r="58" ht="15.75" customHeight="1">
      <c r="S58" s="4"/>
    </row>
    <row r="59" ht="15.75" customHeight="1">
      <c r="S59" s="4"/>
    </row>
    <row r="60" ht="15.75" customHeight="1">
      <c r="S60" s="4"/>
    </row>
    <row r="61" ht="15.75" customHeight="1">
      <c r="S61" s="4"/>
    </row>
    <row r="62" ht="15.75" customHeight="1">
      <c r="S62" s="4"/>
    </row>
    <row r="63" ht="15.75" customHeight="1">
      <c r="S63" s="4"/>
    </row>
    <row r="64" ht="15.75" customHeight="1">
      <c r="S64" s="4"/>
    </row>
    <row r="65" ht="15.75" customHeight="1">
      <c r="S65" s="4"/>
    </row>
    <row r="66" ht="15.75" customHeight="1">
      <c r="S66" s="4"/>
    </row>
    <row r="67" ht="15.75" customHeight="1">
      <c r="S67" s="4"/>
    </row>
    <row r="68" ht="15.75" customHeight="1">
      <c r="S68" s="4"/>
    </row>
    <row r="69" ht="15.75" customHeight="1">
      <c r="S69" s="4"/>
    </row>
    <row r="70" ht="15.75" customHeight="1">
      <c r="S70" s="4"/>
    </row>
    <row r="71" ht="15.75" customHeight="1">
      <c r="S71" s="4"/>
    </row>
    <row r="72" ht="15.75" customHeight="1">
      <c r="S72" s="4"/>
    </row>
    <row r="73" ht="15.75" customHeight="1">
      <c r="S73" s="4"/>
    </row>
    <row r="74" ht="15.75" customHeight="1">
      <c r="S74" s="4"/>
    </row>
    <row r="75" ht="15.75" customHeight="1">
      <c r="S75" s="4"/>
    </row>
    <row r="76" ht="15.75" customHeight="1">
      <c r="S76" s="4"/>
    </row>
    <row r="77" ht="15.75" customHeight="1">
      <c r="S77" s="4"/>
    </row>
    <row r="78" ht="15.75" customHeight="1">
      <c r="S78" s="4"/>
    </row>
    <row r="79" ht="15.75" customHeight="1">
      <c r="S79" s="4"/>
    </row>
    <row r="80" ht="15.75" customHeight="1">
      <c r="S80" s="4"/>
    </row>
    <row r="81" ht="15.75" customHeight="1">
      <c r="S81" s="4"/>
    </row>
    <row r="82" ht="15.75" customHeight="1">
      <c r="S82" s="4"/>
    </row>
    <row r="83" ht="15.75" customHeight="1">
      <c r="S83" s="4"/>
    </row>
    <row r="84" ht="15.75" customHeight="1">
      <c r="S84" s="4"/>
    </row>
    <row r="85" ht="15.75" customHeight="1">
      <c r="S85" s="4"/>
    </row>
    <row r="86" ht="15.75" customHeight="1">
      <c r="S86" s="4"/>
    </row>
    <row r="87" ht="15.75" customHeight="1">
      <c r="S87" s="4"/>
    </row>
    <row r="88" ht="15.75" customHeight="1">
      <c r="S88" s="4"/>
    </row>
    <row r="89" ht="15.75" customHeight="1">
      <c r="S89" s="4"/>
    </row>
    <row r="90" ht="15.75" customHeight="1">
      <c r="S90" s="4"/>
    </row>
    <row r="91" ht="15.75" customHeight="1">
      <c r="S91" s="4"/>
    </row>
    <row r="92" ht="15.75" customHeight="1">
      <c r="S92" s="4"/>
    </row>
    <row r="93" ht="15.75" customHeight="1">
      <c r="S93" s="4"/>
    </row>
    <row r="94" ht="15.75" customHeight="1">
      <c r="S94" s="4"/>
    </row>
    <row r="95" ht="15.75" customHeight="1">
      <c r="S95" s="4"/>
    </row>
    <row r="96" ht="15.75" customHeight="1">
      <c r="S96" s="4"/>
    </row>
    <row r="97" ht="15.75" customHeight="1">
      <c r="S97" s="4"/>
    </row>
    <row r="98" ht="15.75" customHeight="1">
      <c r="S98" s="4"/>
    </row>
    <row r="99" ht="15.75" customHeight="1">
      <c r="S99" s="4"/>
    </row>
    <row r="100" ht="15.75" customHeight="1">
      <c r="S100" s="4"/>
    </row>
    <row r="101" ht="15.75" customHeight="1">
      <c r="S101" s="4"/>
    </row>
    <row r="102" ht="15.75" customHeight="1">
      <c r="S102" s="4"/>
    </row>
    <row r="103" ht="15.75" customHeight="1">
      <c r="S103" s="4"/>
    </row>
    <row r="104" ht="15.75" customHeight="1">
      <c r="S104" s="4"/>
    </row>
    <row r="105" ht="15.75" customHeight="1">
      <c r="S105" s="4"/>
    </row>
    <row r="106" ht="15.75" customHeight="1">
      <c r="S106" s="4"/>
    </row>
    <row r="107" ht="15.75" customHeight="1">
      <c r="S107" s="4"/>
    </row>
    <row r="108" ht="15.75" customHeight="1">
      <c r="S108" s="4"/>
    </row>
    <row r="109" ht="15.75" customHeight="1">
      <c r="S109" s="4"/>
    </row>
    <row r="110" ht="15.75" customHeight="1">
      <c r="S110" s="4"/>
    </row>
    <row r="111" ht="15.75" customHeight="1">
      <c r="S111" s="4"/>
    </row>
    <row r="112" ht="15.75" customHeight="1">
      <c r="S112" s="4"/>
    </row>
    <row r="113" ht="15.75" customHeight="1">
      <c r="S113" s="4"/>
    </row>
    <row r="114" ht="15.75" customHeight="1">
      <c r="S114" s="4"/>
    </row>
    <row r="115" ht="15.75" customHeight="1">
      <c r="S115" s="4"/>
    </row>
    <row r="116" ht="15.75" customHeight="1">
      <c r="S116" s="4"/>
    </row>
    <row r="117" ht="15.75" customHeight="1">
      <c r="S117" s="4"/>
    </row>
    <row r="118" ht="15.75" customHeight="1">
      <c r="S118" s="4"/>
    </row>
    <row r="119" ht="15.75" customHeight="1">
      <c r="S119" s="4"/>
    </row>
    <row r="120" ht="15.75" customHeight="1">
      <c r="S120" s="4"/>
    </row>
    <row r="121" ht="15.75" customHeight="1">
      <c r="S121" s="4"/>
    </row>
    <row r="122" ht="15.75" customHeight="1">
      <c r="S122" s="4"/>
    </row>
    <row r="123" ht="15.75" customHeight="1">
      <c r="S123" s="4"/>
    </row>
    <row r="124" ht="15.75" customHeight="1">
      <c r="S124" s="4"/>
    </row>
    <row r="125" ht="15.75" customHeight="1">
      <c r="S125" s="4"/>
    </row>
    <row r="126" ht="15.75" customHeight="1">
      <c r="S126" s="4"/>
    </row>
    <row r="127" ht="15.75" customHeight="1">
      <c r="S127" s="4"/>
    </row>
    <row r="128" ht="15.75" customHeight="1">
      <c r="S128" s="4"/>
    </row>
    <row r="129" ht="15.75" customHeight="1">
      <c r="S129" s="4"/>
    </row>
    <row r="130" ht="15.75" customHeight="1">
      <c r="S130" s="4"/>
    </row>
    <row r="131" ht="15.75" customHeight="1">
      <c r="S131" s="4"/>
    </row>
    <row r="132" ht="15.75" customHeight="1">
      <c r="S132" s="4"/>
    </row>
    <row r="133" ht="15.75" customHeight="1">
      <c r="S133" s="4"/>
    </row>
    <row r="134" ht="15.75" customHeight="1">
      <c r="S134" s="4"/>
    </row>
    <row r="135" ht="15.75" customHeight="1">
      <c r="S135" s="4"/>
    </row>
    <row r="136" ht="15.75" customHeight="1">
      <c r="S136" s="4"/>
    </row>
    <row r="137" ht="15.75" customHeight="1">
      <c r="S137" s="4"/>
    </row>
    <row r="138" ht="15.75" customHeight="1">
      <c r="S138" s="4"/>
    </row>
    <row r="139" ht="15.75" customHeight="1">
      <c r="S139" s="4"/>
    </row>
    <row r="140" ht="15.75" customHeight="1">
      <c r="S140" s="4"/>
    </row>
    <row r="141" ht="15.75" customHeight="1">
      <c r="S141" s="4"/>
    </row>
    <row r="142" ht="15.75" customHeight="1">
      <c r="S142" s="4"/>
    </row>
    <row r="143" ht="15.75" customHeight="1">
      <c r="S143" s="4"/>
    </row>
    <row r="144" ht="15.75" customHeight="1">
      <c r="S144" s="4"/>
    </row>
    <row r="145" ht="15.75" customHeight="1">
      <c r="S145" s="4"/>
    </row>
    <row r="146" ht="15.75" customHeight="1">
      <c r="S146" s="4"/>
    </row>
    <row r="147" ht="15.75" customHeight="1">
      <c r="S147" s="4"/>
    </row>
    <row r="148" ht="15.75" customHeight="1">
      <c r="S148" s="4"/>
    </row>
    <row r="149" ht="15.75" customHeight="1">
      <c r="S149" s="4"/>
    </row>
    <row r="150" ht="15.75" customHeight="1">
      <c r="S150" s="4"/>
    </row>
    <row r="151" ht="15.75" customHeight="1">
      <c r="S151" s="4"/>
    </row>
    <row r="152" ht="15.75" customHeight="1">
      <c r="S152" s="4"/>
    </row>
    <row r="153" ht="15.75" customHeight="1">
      <c r="S153" s="4"/>
    </row>
    <row r="154" ht="15.75" customHeight="1">
      <c r="S154" s="4"/>
    </row>
    <row r="155" ht="15.75" customHeight="1">
      <c r="S155" s="4"/>
    </row>
    <row r="156" ht="15.75" customHeight="1">
      <c r="S156" s="4"/>
    </row>
    <row r="157" ht="15.75" customHeight="1">
      <c r="S157" s="4"/>
    </row>
    <row r="158" ht="15.75" customHeight="1">
      <c r="S158" s="4"/>
    </row>
    <row r="159" ht="15.75" customHeight="1">
      <c r="S159" s="4"/>
    </row>
    <row r="160" ht="15.75" customHeight="1">
      <c r="S160" s="4"/>
    </row>
    <row r="161" ht="15.75" customHeight="1">
      <c r="S161" s="4"/>
    </row>
    <row r="162" ht="15.75" customHeight="1">
      <c r="S162" s="4"/>
    </row>
    <row r="163" ht="15.75" customHeight="1">
      <c r="S163" s="4"/>
    </row>
    <row r="164" ht="15.75" customHeight="1">
      <c r="S164" s="4"/>
    </row>
    <row r="165" ht="15.75" customHeight="1">
      <c r="S165" s="4"/>
    </row>
    <row r="166" ht="15.75" customHeight="1">
      <c r="S166" s="4"/>
    </row>
    <row r="167" ht="15.75" customHeight="1">
      <c r="S167" s="4"/>
    </row>
    <row r="168" ht="15.75" customHeight="1">
      <c r="S168" s="4"/>
    </row>
    <row r="169" ht="15.75" customHeight="1">
      <c r="S169" s="4"/>
    </row>
    <row r="170" ht="15.75" customHeight="1">
      <c r="S170" s="4"/>
    </row>
    <row r="171" ht="15.75" customHeight="1">
      <c r="S171" s="4"/>
    </row>
    <row r="172" ht="15.75" customHeight="1">
      <c r="S172" s="4"/>
    </row>
    <row r="173" ht="15.75" customHeight="1">
      <c r="S173" s="4"/>
    </row>
    <row r="174" ht="15.75" customHeight="1">
      <c r="S174" s="4"/>
    </row>
    <row r="175" ht="15.75" customHeight="1">
      <c r="S175" s="4"/>
    </row>
    <row r="176" ht="15.75" customHeight="1">
      <c r="S176" s="4"/>
    </row>
    <row r="177" ht="15.75" customHeight="1">
      <c r="S177" s="4"/>
    </row>
    <row r="178" ht="15.75" customHeight="1">
      <c r="S178" s="4"/>
    </row>
    <row r="179" ht="15.75" customHeight="1">
      <c r="S179" s="4"/>
    </row>
    <row r="180" ht="15.75" customHeight="1">
      <c r="S180" s="4"/>
    </row>
    <row r="181" ht="15.75" customHeight="1">
      <c r="S181" s="4"/>
    </row>
    <row r="182" ht="15.75" customHeight="1">
      <c r="S182" s="4"/>
    </row>
    <row r="183" ht="15.75" customHeight="1">
      <c r="S183" s="4"/>
    </row>
    <row r="184" ht="15.75" customHeight="1">
      <c r="S184" s="4"/>
    </row>
    <row r="185" ht="15.75" customHeight="1">
      <c r="S185" s="4"/>
    </row>
    <row r="186" ht="15.75" customHeight="1">
      <c r="S186" s="4"/>
    </row>
    <row r="187" ht="15.75" customHeight="1">
      <c r="S187" s="4"/>
    </row>
    <row r="188" ht="15.75" customHeight="1">
      <c r="S188" s="4"/>
    </row>
    <row r="189" ht="15.75" customHeight="1">
      <c r="S189" s="4"/>
    </row>
    <row r="190" ht="15.75" customHeight="1">
      <c r="S190" s="4"/>
    </row>
    <row r="191" ht="15.75" customHeight="1">
      <c r="S191" s="4"/>
    </row>
    <row r="192" ht="15.75" customHeight="1">
      <c r="S192" s="4"/>
    </row>
    <row r="193" ht="15.75" customHeight="1">
      <c r="S193" s="4"/>
    </row>
    <row r="194" ht="15.75" customHeight="1">
      <c r="S194" s="4"/>
    </row>
    <row r="195" ht="15.75" customHeight="1">
      <c r="S195" s="4"/>
    </row>
    <row r="196" ht="15.75" customHeight="1">
      <c r="S196" s="4"/>
    </row>
    <row r="197" ht="15.75" customHeight="1">
      <c r="S197" s="4"/>
    </row>
    <row r="198" ht="15.75" customHeight="1">
      <c r="S198" s="4"/>
    </row>
    <row r="199" ht="15.75" customHeight="1">
      <c r="S199" s="4"/>
    </row>
    <row r="200" ht="15.75" customHeight="1">
      <c r="S200" s="4"/>
    </row>
    <row r="201" ht="15.75" customHeight="1">
      <c r="S201" s="4"/>
    </row>
    <row r="202" ht="15.75" customHeight="1">
      <c r="S202" s="4"/>
    </row>
    <row r="203" ht="15.75" customHeight="1">
      <c r="S203" s="4"/>
    </row>
    <row r="204" ht="15.75" customHeight="1">
      <c r="S204" s="4"/>
    </row>
    <row r="205" ht="15.75" customHeight="1">
      <c r="S205" s="4"/>
    </row>
    <row r="206" ht="15.75" customHeight="1">
      <c r="S206" s="4"/>
    </row>
    <row r="207" ht="15.75" customHeight="1">
      <c r="S207" s="4"/>
    </row>
    <row r="208" ht="15.75" customHeight="1">
      <c r="S208" s="4"/>
    </row>
    <row r="209" ht="15.75" customHeight="1">
      <c r="S209" s="4"/>
    </row>
    <row r="210" ht="15.75" customHeight="1">
      <c r="S210" s="4"/>
    </row>
    <row r="211" ht="15.75" customHeight="1">
      <c r="S211" s="4"/>
    </row>
    <row r="212" ht="15.75" customHeight="1">
      <c r="S212" s="4"/>
    </row>
    <row r="213" ht="15.75" customHeight="1">
      <c r="S213" s="4"/>
    </row>
    <row r="214" ht="15.75" customHeight="1">
      <c r="S214" s="4"/>
    </row>
    <row r="215" ht="15.75" customHeight="1">
      <c r="S215" s="4"/>
    </row>
    <row r="216" ht="15.75" customHeight="1">
      <c r="S216" s="4"/>
    </row>
    <row r="217" ht="15.75" customHeight="1">
      <c r="S217" s="4"/>
    </row>
    <row r="218" ht="15.75" customHeight="1">
      <c r="S218" s="4"/>
    </row>
    <row r="219" ht="15.75" customHeight="1">
      <c r="S219" s="4"/>
    </row>
    <row r="220" ht="15.75" customHeight="1">
      <c r="S220" s="4"/>
    </row>
    <row r="221" ht="15.75" customHeight="1">
      <c r="S221" s="4"/>
    </row>
    <row r="222" ht="15.75" customHeight="1">
      <c r="S222" s="4"/>
    </row>
    <row r="223" ht="15.75" customHeight="1">
      <c r="S223" s="4"/>
    </row>
    <row r="224" ht="15.75" customHeight="1">
      <c r="S224" s="4"/>
    </row>
    <row r="225" ht="15.75" customHeight="1">
      <c r="S225" s="4"/>
    </row>
    <row r="226" ht="15.75" customHeight="1">
      <c r="S226" s="4"/>
    </row>
    <row r="227" ht="15.75" customHeight="1">
      <c r="S227" s="4"/>
    </row>
    <row r="228" ht="15.75" customHeight="1">
      <c r="S228" s="4"/>
    </row>
    <row r="229" ht="15.75" customHeight="1">
      <c r="S229" s="4"/>
    </row>
    <row r="230" ht="15.75" customHeight="1">
      <c r="S230" s="4"/>
    </row>
    <row r="231" ht="15.75" customHeight="1">
      <c r="S231" s="4"/>
    </row>
    <row r="232" ht="15.75" customHeight="1">
      <c r="S232" s="4"/>
    </row>
    <row r="233" ht="15.75" customHeight="1">
      <c r="S233" s="4"/>
    </row>
    <row r="234" ht="15.75" customHeight="1">
      <c r="S234" s="4"/>
    </row>
    <row r="235" ht="15.75" customHeight="1">
      <c r="S235" s="4"/>
    </row>
    <row r="236" ht="15.75" customHeight="1">
      <c r="S236" s="4"/>
    </row>
    <row r="237" ht="15.75" customHeight="1">
      <c r="S237" s="4"/>
    </row>
    <row r="238" ht="15.75" customHeight="1">
      <c r="S238" s="4"/>
    </row>
    <row r="239" ht="15.75" customHeight="1">
      <c r="S239" s="4"/>
    </row>
    <row r="240" ht="15.75" customHeight="1">
      <c r="S240" s="4"/>
    </row>
    <row r="241" ht="15.75" customHeight="1">
      <c r="S241" s="4"/>
    </row>
    <row r="242" ht="15.75" customHeight="1">
      <c r="S242" s="4"/>
    </row>
    <row r="243" ht="15.75" customHeight="1">
      <c r="S243" s="4"/>
    </row>
    <row r="244" ht="15.75" customHeight="1">
      <c r="S244" s="4"/>
    </row>
    <row r="245" ht="15.75" customHeight="1">
      <c r="S245" s="4"/>
    </row>
    <row r="246" ht="15.75" customHeight="1">
      <c r="S246" s="4"/>
    </row>
    <row r="247" ht="15.75" customHeight="1">
      <c r="S247" s="4"/>
    </row>
    <row r="248" ht="15.75" customHeight="1">
      <c r="S248" s="4"/>
    </row>
    <row r="249" ht="15.75" customHeight="1">
      <c r="S249" s="4"/>
    </row>
    <row r="250" ht="15.75" customHeight="1">
      <c r="S250" s="4"/>
    </row>
    <row r="251" ht="15.75" customHeight="1">
      <c r="S251" s="4"/>
    </row>
    <row r="252" ht="15.75" customHeight="1">
      <c r="S252" s="4"/>
    </row>
    <row r="253" ht="15.75" customHeight="1">
      <c r="S253" s="4"/>
    </row>
    <row r="254" ht="15.75" customHeight="1">
      <c r="S254" s="4"/>
    </row>
    <row r="255" ht="15.75" customHeight="1">
      <c r="S255" s="4"/>
    </row>
    <row r="256" ht="15.75" customHeight="1">
      <c r="S256" s="4"/>
    </row>
    <row r="257" ht="15.75" customHeight="1">
      <c r="S257" s="4"/>
    </row>
    <row r="258" ht="15.75" customHeight="1">
      <c r="S258" s="4"/>
    </row>
    <row r="259" ht="15.75" customHeight="1">
      <c r="S259" s="4"/>
    </row>
    <row r="260" ht="15.75" customHeight="1">
      <c r="S260" s="4"/>
    </row>
    <row r="261" ht="15.75" customHeight="1">
      <c r="S261" s="4"/>
    </row>
    <row r="262" ht="15.75" customHeight="1">
      <c r="S262" s="4"/>
    </row>
    <row r="263" ht="15.75" customHeight="1">
      <c r="S263" s="4"/>
    </row>
    <row r="264" ht="15.75" customHeight="1">
      <c r="S264" s="4"/>
    </row>
    <row r="265" ht="15.75" customHeight="1">
      <c r="S265" s="4"/>
    </row>
    <row r="266" ht="15.75" customHeight="1">
      <c r="S266" s="4"/>
    </row>
    <row r="267" ht="15.75" customHeight="1">
      <c r="S267" s="4"/>
    </row>
    <row r="268" ht="15.75" customHeight="1">
      <c r="S268" s="4"/>
    </row>
    <row r="269" ht="15.75" customHeight="1">
      <c r="S269" s="4"/>
    </row>
    <row r="270" ht="15.75" customHeight="1">
      <c r="S270" s="4"/>
    </row>
    <row r="271" ht="15.75" customHeight="1">
      <c r="S271" s="4"/>
    </row>
    <row r="272" ht="15.75" customHeight="1">
      <c r="S272" s="4"/>
    </row>
    <row r="273" ht="15.75" customHeight="1">
      <c r="S273" s="4"/>
    </row>
    <row r="274" ht="15.75" customHeight="1">
      <c r="S274" s="4"/>
    </row>
    <row r="275" ht="15.75" customHeight="1">
      <c r="S275" s="4"/>
    </row>
    <row r="276" ht="15.75" customHeight="1">
      <c r="S276" s="4"/>
    </row>
    <row r="277" ht="15.75" customHeight="1">
      <c r="S277" s="4"/>
    </row>
    <row r="278" ht="15.75" customHeight="1">
      <c r="S278" s="4"/>
    </row>
    <row r="279" ht="15.75" customHeight="1">
      <c r="S279" s="4"/>
    </row>
    <row r="280" ht="15.75" customHeight="1">
      <c r="S280" s="4"/>
    </row>
    <row r="281" ht="15.75" customHeight="1">
      <c r="S281" s="4"/>
    </row>
    <row r="282" ht="15.75" customHeight="1">
      <c r="S282" s="4"/>
    </row>
    <row r="283" ht="15.75" customHeight="1">
      <c r="S283" s="4"/>
    </row>
    <row r="284" ht="15.75" customHeight="1">
      <c r="S284" s="4"/>
    </row>
    <row r="285" ht="15.75" customHeight="1">
      <c r="S285" s="4"/>
    </row>
    <row r="286" ht="15.75" customHeight="1">
      <c r="S286" s="4"/>
    </row>
    <row r="287" ht="15.75" customHeight="1">
      <c r="S287" s="4"/>
    </row>
    <row r="288" ht="15.75" customHeight="1">
      <c r="S288" s="4"/>
    </row>
    <row r="289" ht="15.75" customHeight="1">
      <c r="S289" s="4"/>
    </row>
    <row r="290" ht="15.75" customHeight="1">
      <c r="S290" s="4"/>
    </row>
    <row r="291" ht="15.75" customHeight="1">
      <c r="S291" s="4"/>
    </row>
    <row r="292" ht="15.75" customHeight="1">
      <c r="S292" s="4"/>
    </row>
    <row r="293" ht="15.75" customHeight="1">
      <c r="S293" s="4"/>
    </row>
    <row r="294" ht="15.75" customHeight="1">
      <c r="S294" s="4"/>
    </row>
    <row r="295" ht="15.75" customHeight="1">
      <c r="S295" s="4"/>
    </row>
    <row r="296" ht="15.75" customHeight="1">
      <c r="S296" s="4"/>
    </row>
    <row r="297" ht="15.75" customHeight="1">
      <c r="S297" s="4"/>
    </row>
    <row r="298" ht="15.75" customHeight="1">
      <c r="S298" s="4"/>
    </row>
    <row r="299" ht="15.75" customHeight="1">
      <c r="S299" s="4"/>
    </row>
    <row r="300" ht="15.75" customHeight="1">
      <c r="S300" s="4"/>
    </row>
    <row r="301" ht="15.75" customHeight="1">
      <c r="S301" s="4"/>
    </row>
    <row r="302" ht="15.75" customHeight="1">
      <c r="S302" s="4"/>
    </row>
    <row r="303" ht="15.75" customHeight="1">
      <c r="S303" s="4"/>
    </row>
    <row r="304" ht="15.75" customHeight="1">
      <c r="S304" s="4"/>
    </row>
    <row r="305" ht="15.75" customHeight="1">
      <c r="S305" s="4"/>
    </row>
    <row r="306" ht="15.75" customHeight="1">
      <c r="S306" s="4"/>
    </row>
    <row r="307" ht="15.75" customHeight="1">
      <c r="S307" s="4"/>
    </row>
    <row r="308" ht="15.75" customHeight="1">
      <c r="S308" s="4"/>
    </row>
    <row r="309" ht="15.75" customHeight="1">
      <c r="S309" s="4"/>
    </row>
    <row r="310" ht="15.75" customHeight="1">
      <c r="S310" s="4"/>
    </row>
    <row r="311" ht="15.75" customHeight="1">
      <c r="S311" s="4"/>
    </row>
    <row r="312" ht="15.75" customHeight="1">
      <c r="S312" s="4"/>
    </row>
    <row r="313" ht="15.75" customHeight="1">
      <c r="S313" s="4"/>
    </row>
    <row r="314" ht="15.75" customHeight="1">
      <c r="S314" s="4"/>
    </row>
    <row r="315" ht="15.75" customHeight="1">
      <c r="S315" s="4"/>
    </row>
    <row r="316" ht="15.75" customHeight="1">
      <c r="S316" s="4"/>
    </row>
    <row r="317" ht="15.75" customHeight="1">
      <c r="S317" s="4"/>
    </row>
    <row r="318" ht="15.75" customHeight="1">
      <c r="S318" s="4"/>
    </row>
    <row r="319" ht="15.75" customHeight="1">
      <c r="S319" s="4"/>
    </row>
    <row r="320" ht="15.75" customHeight="1">
      <c r="S320" s="4"/>
    </row>
    <row r="321" ht="15.75" customHeight="1">
      <c r="S321" s="4"/>
    </row>
    <row r="322" ht="15.75" customHeight="1">
      <c r="S322" s="4"/>
    </row>
    <row r="323" ht="15.75" customHeight="1">
      <c r="S323" s="4"/>
    </row>
    <row r="324" ht="15.75" customHeight="1">
      <c r="S324" s="4"/>
    </row>
    <row r="325" ht="15.75" customHeight="1">
      <c r="S325" s="4"/>
    </row>
    <row r="326" ht="15.75" customHeight="1">
      <c r="S326" s="4"/>
    </row>
    <row r="327" ht="15.75" customHeight="1">
      <c r="S327" s="4"/>
    </row>
    <row r="328" ht="15.75" customHeight="1">
      <c r="S328" s="4"/>
    </row>
    <row r="329" ht="15.75" customHeight="1">
      <c r="S329" s="4"/>
    </row>
    <row r="330" ht="15.75" customHeight="1">
      <c r="S330" s="4"/>
    </row>
    <row r="331" ht="15.75" customHeight="1">
      <c r="S331" s="4"/>
    </row>
    <row r="332" ht="15.75" customHeight="1">
      <c r="S332" s="4"/>
    </row>
    <row r="333" ht="15.75" customHeight="1">
      <c r="S333" s="4"/>
    </row>
    <row r="334" ht="15.75" customHeight="1">
      <c r="S334" s="4"/>
    </row>
    <row r="335" ht="15.75" customHeight="1">
      <c r="S335" s="4"/>
    </row>
    <row r="336" ht="15.75" customHeight="1">
      <c r="S336" s="4"/>
    </row>
    <row r="337" ht="15.75" customHeight="1">
      <c r="S337" s="4"/>
    </row>
    <row r="338" ht="15.75" customHeight="1">
      <c r="S338" s="4"/>
    </row>
    <row r="339" ht="15.75" customHeight="1">
      <c r="S339" s="4"/>
    </row>
    <row r="340" ht="15.75" customHeight="1">
      <c r="S340" s="4"/>
    </row>
    <row r="341" ht="15.75" customHeight="1">
      <c r="S341" s="4"/>
    </row>
    <row r="342" ht="15.75" customHeight="1">
      <c r="S342" s="4"/>
    </row>
    <row r="343" ht="15.75" customHeight="1">
      <c r="S343" s="4"/>
    </row>
    <row r="344" ht="15.75" customHeight="1">
      <c r="S344" s="4"/>
    </row>
    <row r="345" ht="15.75" customHeight="1">
      <c r="S345" s="4"/>
    </row>
    <row r="346" ht="15.75" customHeight="1">
      <c r="S346" s="4"/>
    </row>
    <row r="347" ht="15.75" customHeight="1">
      <c r="S347" s="4"/>
    </row>
    <row r="348" ht="15.75" customHeight="1">
      <c r="S348" s="4"/>
    </row>
    <row r="349" ht="15.75" customHeight="1">
      <c r="S349" s="4"/>
    </row>
    <row r="350" ht="15.75" customHeight="1">
      <c r="S350" s="4"/>
    </row>
    <row r="351" ht="15.75" customHeight="1">
      <c r="S351" s="4"/>
    </row>
    <row r="352" ht="15.75" customHeight="1">
      <c r="S352" s="4"/>
    </row>
    <row r="353" ht="15.75" customHeight="1">
      <c r="S353" s="4"/>
    </row>
    <row r="354" ht="15.75" customHeight="1">
      <c r="S354" s="4"/>
    </row>
    <row r="355" ht="15.75" customHeight="1">
      <c r="S355" s="4"/>
    </row>
    <row r="356" ht="15.75" customHeight="1">
      <c r="S356" s="4"/>
    </row>
    <row r="357" ht="15.75" customHeight="1">
      <c r="S357" s="4"/>
    </row>
    <row r="358" ht="15.75" customHeight="1">
      <c r="S358" s="4"/>
    </row>
    <row r="359" ht="15.75" customHeight="1">
      <c r="S359" s="4"/>
    </row>
    <row r="360" ht="15.75" customHeight="1">
      <c r="S360" s="4"/>
    </row>
    <row r="361" ht="15.75" customHeight="1">
      <c r="S361" s="4"/>
    </row>
    <row r="362" ht="15.75" customHeight="1">
      <c r="S362" s="4"/>
    </row>
    <row r="363" ht="15.75" customHeight="1">
      <c r="S363" s="4"/>
    </row>
    <row r="364" ht="15.75" customHeight="1">
      <c r="S364" s="4"/>
    </row>
    <row r="365" ht="15.75" customHeight="1">
      <c r="S365" s="4"/>
    </row>
    <row r="366" ht="15.75" customHeight="1">
      <c r="S366" s="4"/>
    </row>
    <row r="367" ht="15.75" customHeight="1">
      <c r="S367" s="4"/>
    </row>
    <row r="368" ht="15.75" customHeight="1">
      <c r="S368" s="4"/>
    </row>
    <row r="369" ht="15.75" customHeight="1">
      <c r="S369" s="4"/>
    </row>
    <row r="370" ht="15.75" customHeight="1">
      <c r="S370" s="4"/>
    </row>
    <row r="371" ht="15.75" customHeight="1">
      <c r="S371" s="4"/>
    </row>
    <row r="372" ht="15.75" customHeight="1">
      <c r="S372" s="4"/>
    </row>
    <row r="373" ht="15.75" customHeight="1">
      <c r="S373" s="4"/>
    </row>
    <row r="374" ht="15.75" customHeight="1">
      <c r="S374" s="4"/>
    </row>
    <row r="375" ht="15.75" customHeight="1">
      <c r="S375" s="4"/>
    </row>
    <row r="376" ht="15.75" customHeight="1">
      <c r="S376" s="4"/>
    </row>
    <row r="377" ht="15.75" customHeight="1">
      <c r="S377" s="4"/>
    </row>
    <row r="378" ht="15.75" customHeight="1">
      <c r="S378" s="4"/>
    </row>
    <row r="379" ht="15.75" customHeight="1">
      <c r="S379" s="4"/>
    </row>
    <row r="380" ht="15.75" customHeight="1">
      <c r="S380" s="4"/>
    </row>
    <row r="381" ht="15.75" customHeight="1">
      <c r="S381" s="4"/>
    </row>
    <row r="382" ht="15.75" customHeight="1">
      <c r="S382" s="4"/>
    </row>
    <row r="383" ht="15.75" customHeight="1">
      <c r="S383" s="4"/>
    </row>
    <row r="384" ht="15.75" customHeight="1">
      <c r="S384" s="4"/>
    </row>
    <row r="385" ht="15.75" customHeight="1">
      <c r="S385" s="4"/>
    </row>
    <row r="386" ht="15.75" customHeight="1">
      <c r="S386" s="4"/>
    </row>
    <row r="387" ht="15.75" customHeight="1">
      <c r="S387" s="4"/>
    </row>
    <row r="388" ht="15.75" customHeight="1">
      <c r="S388" s="4"/>
    </row>
    <row r="389" ht="15.75" customHeight="1">
      <c r="S389" s="4"/>
    </row>
    <row r="390" ht="15.75" customHeight="1">
      <c r="S390" s="4"/>
    </row>
    <row r="391" ht="15.75" customHeight="1">
      <c r="S391" s="4"/>
    </row>
    <row r="392" ht="15.75" customHeight="1">
      <c r="S392" s="4"/>
    </row>
    <row r="393" ht="15.75" customHeight="1">
      <c r="S393" s="4"/>
    </row>
    <row r="394" ht="15.75" customHeight="1">
      <c r="S394" s="4"/>
    </row>
    <row r="395" ht="15.75" customHeight="1">
      <c r="S395" s="4"/>
    </row>
    <row r="396" ht="15.75" customHeight="1">
      <c r="S396" s="4"/>
    </row>
    <row r="397" ht="15.75" customHeight="1">
      <c r="S397" s="4"/>
    </row>
    <row r="398" ht="15.75" customHeight="1">
      <c r="S398" s="4"/>
    </row>
    <row r="399" ht="15.75" customHeight="1">
      <c r="S399" s="4"/>
    </row>
    <row r="400" ht="15.75" customHeight="1">
      <c r="S400" s="4"/>
    </row>
    <row r="401" ht="15.75" customHeight="1">
      <c r="S401" s="4"/>
    </row>
    <row r="402" ht="15.75" customHeight="1">
      <c r="S402" s="4"/>
    </row>
    <row r="403" ht="15.75" customHeight="1">
      <c r="S403" s="4"/>
    </row>
    <row r="404" ht="15.75" customHeight="1">
      <c r="S404" s="4"/>
    </row>
    <row r="405" ht="15.75" customHeight="1">
      <c r="S405" s="4"/>
    </row>
    <row r="406" ht="15.75" customHeight="1">
      <c r="S406" s="4"/>
    </row>
    <row r="407" ht="15.75" customHeight="1">
      <c r="S407" s="4"/>
    </row>
    <row r="408" ht="15.75" customHeight="1">
      <c r="S408" s="4"/>
    </row>
    <row r="409" ht="15.75" customHeight="1">
      <c r="S409" s="4"/>
    </row>
    <row r="410" ht="15.75" customHeight="1">
      <c r="S410" s="4"/>
    </row>
    <row r="411" ht="15.75" customHeight="1">
      <c r="S411" s="4"/>
    </row>
    <row r="412" ht="15.75" customHeight="1">
      <c r="S412" s="4"/>
    </row>
    <row r="413" ht="15.75" customHeight="1">
      <c r="S413" s="4"/>
    </row>
    <row r="414" ht="15.75" customHeight="1">
      <c r="S414" s="4"/>
    </row>
    <row r="415" ht="15.75" customHeight="1">
      <c r="S415" s="4"/>
    </row>
    <row r="416" ht="15.75" customHeight="1">
      <c r="S416" s="4"/>
    </row>
    <row r="417" ht="15.75" customHeight="1">
      <c r="S417" s="4"/>
    </row>
    <row r="418" ht="15.75" customHeight="1">
      <c r="S418" s="4"/>
    </row>
    <row r="419" ht="15.75" customHeight="1">
      <c r="S419" s="4"/>
    </row>
    <row r="420" ht="15.75" customHeight="1">
      <c r="S420" s="4"/>
    </row>
    <row r="421" ht="15.75" customHeight="1">
      <c r="S421" s="4"/>
    </row>
    <row r="422" ht="15.75" customHeight="1">
      <c r="S422" s="4"/>
    </row>
    <row r="423" ht="15.75" customHeight="1">
      <c r="S423" s="4"/>
    </row>
    <row r="424" ht="15.75" customHeight="1">
      <c r="S424" s="4"/>
    </row>
    <row r="425" ht="15.75" customHeight="1">
      <c r="S425" s="4"/>
    </row>
    <row r="426" ht="15.75" customHeight="1">
      <c r="S426" s="4"/>
    </row>
    <row r="427" ht="15.75" customHeight="1">
      <c r="S427" s="4"/>
    </row>
    <row r="428" ht="15.75" customHeight="1">
      <c r="S428" s="4"/>
    </row>
    <row r="429" ht="15.75" customHeight="1">
      <c r="S429" s="4"/>
    </row>
    <row r="430" ht="15.75" customHeight="1">
      <c r="S430" s="4"/>
    </row>
    <row r="431" ht="15.75" customHeight="1">
      <c r="S431" s="4"/>
    </row>
    <row r="432" ht="15.75" customHeight="1">
      <c r="S432" s="4"/>
    </row>
    <row r="433" ht="15.75" customHeight="1">
      <c r="S433" s="4"/>
    </row>
    <row r="434" ht="15.75" customHeight="1">
      <c r="S434" s="4"/>
    </row>
    <row r="435" ht="15.75" customHeight="1">
      <c r="S435" s="4"/>
    </row>
    <row r="436" ht="15.75" customHeight="1">
      <c r="S436" s="4"/>
    </row>
    <row r="437" ht="15.75" customHeight="1">
      <c r="S437" s="4"/>
    </row>
    <row r="438" ht="15.75" customHeight="1">
      <c r="S438" s="4"/>
    </row>
    <row r="439" ht="15.75" customHeight="1">
      <c r="S439" s="4"/>
    </row>
    <row r="440" ht="15.75" customHeight="1">
      <c r="S440" s="4"/>
    </row>
    <row r="441" ht="15.75" customHeight="1">
      <c r="S441" s="4"/>
    </row>
    <row r="442" ht="15.75" customHeight="1">
      <c r="S442" s="4"/>
    </row>
    <row r="443" ht="15.75" customHeight="1">
      <c r="S443" s="4"/>
    </row>
    <row r="444" ht="15.75" customHeight="1">
      <c r="S444" s="4"/>
    </row>
    <row r="445" ht="15.75" customHeight="1">
      <c r="S445" s="4"/>
    </row>
    <row r="446" ht="15.75" customHeight="1">
      <c r="S446" s="4"/>
    </row>
    <row r="447" ht="15.75" customHeight="1">
      <c r="S447" s="4"/>
    </row>
    <row r="448" ht="15.75" customHeight="1">
      <c r="S448" s="4"/>
    </row>
    <row r="449" ht="15.75" customHeight="1">
      <c r="S449" s="4"/>
    </row>
    <row r="450" ht="15.75" customHeight="1">
      <c r="S450" s="4"/>
    </row>
    <row r="451" ht="15.75" customHeight="1">
      <c r="S451" s="4"/>
    </row>
    <row r="452" ht="15.75" customHeight="1">
      <c r="S452" s="4"/>
    </row>
    <row r="453" ht="15.75" customHeight="1">
      <c r="S453" s="4"/>
    </row>
    <row r="454" ht="15.75" customHeight="1">
      <c r="S454" s="4"/>
    </row>
    <row r="455" ht="15.75" customHeight="1">
      <c r="S455" s="4"/>
    </row>
    <row r="456" ht="15.75" customHeight="1">
      <c r="S456" s="4"/>
    </row>
    <row r="457" ht="15.75" customHeight="1">
      <c r="S457" s="4"/>
    </row>
    <row r="458" ht="15.75" customHeight="1">
      <c r="S458" s="4"/>
    </row>
    <row r="459" ht="15.75" customHeight="1">
      <c r="S459" s="4"/>
    </row>
    <row r="460" ht="15.75" customHeight="1">
      <c r="S460" s="4"/>
    </row>
    <row r="461" ht="15.75" customHeight="1">
      <c r="S461" s="4"/>
    </row>
    <row r="462" ht="15.75" customHeight="1">
      <c r="S462" s="4"/>
    </row>
    <row r="463" ht="15.75" customHeight="1">
      <c r="S463" s="4"/>
    </row>
    <row r="464" ht="15.75" customHeight="1">
      <c r="S464" s="4"/>
    </row>
    <row r="465" ht="15.75" customHeight="1">
      <c r="S465" s="4"/>
    </row>
    <row r="466" ht="15.75" customHeight="1">
      <c r="S466" s="4"/>
    </row>
    <row r="467" ht="15.75" customHeight="1">
      <c r="S467" s="4"/>
    </row>
    <row r="468" ht="15.75" customHeight="1">
      <c r="S468" s="4"/>
    </row>
    <row r="469" ht="15.75" customHeight="1">
      <c r="S469" s="4"/>
    </row>
    <row r="470" ht="15.75" customHeight="1">
      <c r="S470" s="4"/>
    </row>
    <row r="471" ht="15.75" customHeight="1">
      <c r="S471" s="4"/>
    </row>
    <row r="472" ht="15.75" customHeight="1">
      <c r="S472" s="4"/>
    </row>
    <row r="473" ht="15.75" customHeight="1">
      <c r="S473" s="4"/>
    </row>
    <row r="474" ht="15.75" customHeight="1">
      <c r="S474" s="4"/>
    </row>
    <row r="475" ht="15.75" customHeight="1">
      <c r="S475" s="4"/>
    </row>
    <row r="476" ht="15.75" customHeight="1">
      <c r="S476" s="4"/>
    </row>
    <row r="477" ht="15.75" customHeight="1">
      <c r="S477" s="4"/>
    </row>
    <row r="478" ht="15.75" customHeight="1">
      <c r="S478" s="4"/>
    </row>
    <row r="479" ht="15.75" customHeight="1">
      <c r="S479" s="4"/>
    </row>
    <row r="480" ht="15.75" customHeight="1">
      <c r="S480" s="4"/>
    </row>
    <row r="481" ht="15.75" customHeight="1">
      <c r="S481" s="4"/>
    </row>
    <row r="482" ht="15.75" customHeight="1">
      <c r="S482" s="4"/>
    </row>
    <row r="483" ht="15.75" customHeight="1">
      <c r="S483" s="4"/>
    </row>
    <row r="484" ht="15.75" customHeight="1">
      <c r="S484" s="4"/>
    </row>
    <row r="485" ht="15.75" customHeight="1">
      <c r="S485" s="4"/>
    </row>
    <row r="486" ht="15.75" customHeight="1">
      <c r="S486" s="4"/>
    </row>
    <row r="487" ht="15.75" customHeight="1">
      <c r="S487" s="4"/>
    </row>
    <row r="488" ht="15.75" customHeight="1">
      <c r="S488" s="4"/>
    </row>
    <row r="489" ht="15.75" customHeight="1">
      <c r="S489" s="4"/>
    </row>
    <row r="490" ht="15.75" customHeight="1">
      <c r="S490" s="4"/>
    </row>
    <row r="491" ht="15.75" customHeight="1">
      <c r="S491" s="4"/>
    </row>
    <row r="492" ht="15.75" customHeight="1">
      <c r="S492" s="4"/>
    </row>
    <row r="493" ht="15.75" customHeight="1">
      <c r="S493" s="4"/>
    </row>
    <row r="494" ht="15.75" customHeight="1">
      <c r="S494" s="4"/>
    </row>
    <row r="495" ht="15.75" customHeight="1">
      <c r="S495" s="4"/>
    </row>
    <row r="496" ht="15.75" customHeight="1">
      <c r="S496" s="4"/>
    </row>
    <row r="497" ht="15.75" customHeight="1">
      <c r="S497" s="4"/>
    </row>
    <row r="498" ht="15.75" customHeight="1">
      <c r="S498" s="4"/>
    </row>
    <row r="499" ht="15.75" customHeight="1">
      <c r="S499" s="4"/>
    </row>
    <row r="500" ht="15.75" customHeight="1">
      <c r="S500" s="4"/>
    </row>
    <row r="501" ht="15.75" customHeight="1">
      <c r="S501" s="4"/>
    </row>
    <row r="502" ht="15.75" customHeight="1">
      <c r="S502" s="4"/>
    </row>
    <row r="503" ht="15.75" customHeight="1">
      <c r="S503" s="4"/>
    </row>
    <row r="504" ht="15.75" customHeight="1">
      <c r="S504" s="4"/>
    </row>
    <row r="505" ht="15.75" customHeight="1">
      <c r="S505" s="4"/>
    </row>
    <row r="506" ht="15.75" customHeight="1">
      <c r="S506" s="4"/>
    </row>
    <row r="507" ht="15.75" customHeight="1">
      <c r="S507" s="4"/>
    </row>
    <row r="508" ht="15.75" customHeight="1">
      <c r="S508" s="4"/>
    </row>
    <row r="509" ht="15.75" customHeight="1">
      <c r="S509" s="4"/>
    </row>
    <row r="510" ht="15.75" customHeight="1">
      <c r="S510" s="4"/>
    </row>
    <row r="511" ht="15.75" customHeight="1">
      <c r="S511" s="4"/>
    </row>
    <row r="512" ht="15.75" customHeight="1">
      <c r="S512" s="4"/>
    </row>
    <row r="513" ht="15.75" customHeight="1">
      <c r="S513" s="4"/>
    </row>
    <row r="514" ht="15.75" customHeight="1">
      <c r="S514" s="4"/>
    </row>
    <row r="515" ht="15.75" customHeight="1">
      <c r="S515" s="4"/>
    </row>
    <row r="516" ht="15.75" customHeight="1">
      <c r="S516" s="4"/>
    </row>
    <row r="517" ht="15.75" customHeight="1">
      <c r="S517" s="4"/>
    </row>
    <row r="518" ht="15.75" customHeight="1">
      <c r="S518" s="4"/>
    </row>
    <row r="519" ht="15.75" customHeight="1">
      <c r="S519" s="4"/>
    </row>
    <row r="520" ht="15.75" customHeight="1">
      <c r="S520" s="4"/>
    </row>
    <row r="521" ht="15.75" customHeight="1">
      <c r="S521" s="4"/>
    </row>
    <row r="522" ht="15.75" customHeight="1">
      <c r="S522" s="4"/>
    </row>
    <row r="523" ht="15.75" customHeight="1">
      <c r="S523" s="4"/>
    </row>
    <row r="524" ht="15.75" customHeight="1">
      <c r="S524" s="4"/>
    </row>
    <row r="525" ht="15.75" customHeight="1">
      <c r="S525" s="4"/>
    </row>
    <row r="526" ht="15.75" customHeight="1">
      <c r="S526" s="4"/>
    </row>
    <row r="527" ht="15.75" customHeight="1">
      <c r="S527" s="4"/>
    </row>
    <row r="528" ht="15.75" customHeight="1">
      <c r="S528" s="4"/>
    </row>
    <row r="529" ht="15.75" customHeight="1">
      <c r="S529" s="4"/>
    </row>
    <row r="530" ht="15.75" customHeight="1">
      <c r="S530" s="4"/>
    </row>
    <row r="531" ht="15.75" customHeight="1">
      <c r="S531" s="4"/>
    </row>
    <row r="532" ht="15.75" customHeight="1">
      <c r="S532" s="4"/>
    </row>
    <row r="533" ht="15.75" customHeight="1">
      <c r="S533" s="4"/>
    </row>
    <row r="534" ht="15.75" customHeight="1">
      <c r="S534" s="4"/>
    </row>
    <row r="535" ht="15.75" customHeight="1">
      <c r="S535" s="4"/>
    </row>
    <row r="536" ht="15.75" customHeight="1">
      <c r="S536" s="4"/>
    </row>
    <row r="537" ht="15.75" customHeight="1">
      <c r="S537" s="4"/>
    </row>
    <row r="538" ht="15.75" customHeight="1">
      <c r="S538" s="4"/>
    </row>
    <row r="539" ht="15.75" customHeight="1">
      <c r="S539" s="4"/>
    </row>
    <row r="540" ht="15.75" customHeight="1">
      <c r="S540" s="4"/>
    </row>
    <row r="541" ht="15.75" customHeight="1">
      <c r="S541" s="4"/>
    </row>
    <row r="542" ht="15.75" customHeight="1">
      <c r="S542" s="4"/>
    </row>
    <row r="543" ht="15.75" customHeight="1">
      <c r="S543" s="4"/>
    </row>
    <row r="544" ht="15.75" customHeight="1">
      <c r="S544" s="4"/>
    </row>
    <row r="545" ht="15.75" customHeight="1">
      <c r="S545" s="4"/>
    </row>
    <row r="546" ht="15.75" customHeight="1">
      <c r="S546" s="4"/>
    </row>
    <row r="547" ht="15.75" customHeight="1">
      <c r="S547" s="4"/>
    </row>
    <row r="548" ht="15.75" customHeight="1">
      <c r="S548" s="4"/>
    </row>
    <row r="549" ht="15.75" customHeight="1">
      <c r="S549" s="4"/>
    </row>
    <row r="550" ht="15.75" customHeight="1">
      <c r="S550" s="4"/>
    </row>
    <row r="551" ht="15.75" customHeight="1">
      <c r="S551" s="4"/>
    </row>
    <row r="552" ht="15.75" customHeight="1">
      <c r="S552" s="4"/>
    </row>
    <row r="553" ht="15.75" customHeight="1">
      <c r="S553" s="4"/>
    </row>
    <row r="554" ht="15.75" customHeight="1">
      <c r="S554" s="4"/>
    </row>
    <row r="555" ht="15.75" customHeight="1">
      <c r="S555" s="4"/>
    </row>
    <row r="556" ht="15.75" customHeight="1">
      <c r="S556" s="4"/>
    </row>
    <row r="557" ht="15.75" customHeight="1">
      <c r="S557" s="4"/>
    </row>
    <row r="558" ht="15.75" customHeight="1">
      <c r="S558" s="4"/>
    </row>
    <row r="559" ht="15.75" customHeight="1">
      <c r="S559" s="4"/>
    </row>
    <row r="560" ht="15.75" customHeight="1">
      <c r="S560" s="4"/>
    </row>
    <row r="561" ht="15.75" customHeight="1">
      <c r="S561" s="4"/>
    </row>
    <row r="562" ht="15.75" customHeight="1">
      <c r="S562" s="4"/>
    </row>
    <row r="563" ht="15.75" customHeight="1">
      <c r="S563" s="4"/>
    </row>
    <row r="564" ht="15.75" customHeight="1">
      <c r="S564" s="4"/>
    </row>
    <row r="565" ht="15.75" customHeight="1">
      <c r="S565" s="4"/>
    </row>
    <row r="566" ht="15.75" customHeight="1">
      <c r="S566" s="4"/>
    </row>
    <row r="567" ht="15.75" customHeight="1">
      <c r="S567" s="4"/>
    </row>
    <row r="568" ht="15.75" customHeight="1">
      <c r="S568" s="4"/>
    </row>
    <row r="569" ht="15.75" customHeight="1">
      <c r="S569" s="4"/>
    </row>
    <row r="570" ht="15.75" customHeight="1">
      <c r="S570" s="4"/>
    </row>
    <row r="571" ht="15.75" customHeight="1">
      <c r="S571" s="4"/>
    </row>
    <row r="572" ht="15.75" customHeight="1">
      <c r="S572" s="4"/>
    </row>
    <row r="573" ht="15.75" customHeight="1">
      <c r="S573" s="4"/>
    </row>
    <row r="574" ht="15.75" customHeight="1">
      <c r="S574" s="4"/>
    </row>
    <row r="575" ht="15.75" customHeight="1">
      <c r="S575" s="4"/>
    </row>
    <row r="576" ht="15.75" customHeight="1">
      <c r="S576" s="4"/>
    </row>
    <row r="577" ht="15.75" customHeight="1">
      <c r="S577" s="4"/>
    </row>
    <row r="578" ht="15.75" customHeight="1">
      <c r="S578" s="4"/>
    </row>
    <row r="579" ht="15.75" customHeight="1">
      <c r="S579" s="4"/>
    </row>
    <row r="580" ht="15.75" customHeight="1">
      <c r="S580" s="4"/>
    </row>
    <row r="581" ht="15.75" customHeight="1">
      <c r="S581" s="4"/>
    </row>
    <row r="582" ht="15.75" customHeight="1">
      <c r="S582" s="4"/>
    </row>
    <row r="583" ht="15.75" customHeight="1">
      <c r="S583" s="4"/>
    </row>
    <row r="584" ht="15.75" customHeight="1">
      <c r="S584" s="4"/>
    </row>
    <row r="585" ht="15.75" customHeight="1">
      <c r="S585" s="4"/>
    </row>
    <row r="586" ht="15.75" customHeight="1">
      <c r="S586" s="4"/>
    </row>
    <row r="587" ht="15.75" customHeight="1">
      <c r="S587" s="4"/>
    </row>
    <row r="588" ht="15.75" customHeight="1">
      <c r="S588" s="4"/>
    </row>
    <row r="589" ht="15.75" customHeight="1">
      <c r="S589" s="4"/>
    </row>
    <row r="590" ht="15.75" customHeight="1">
      <c r="S590" s="4"/>
    </row>
    <row r="591" ht="15.75" customHeight="1">
      <c r="S591" s="4"/>
    </row>
    <row r="592" ht="15.75" customHeight="1">
      <c r="S592" s="4"/>
    </row>
    <row r="593" ht="15.75" customHeight="1">
      <c r="S593" s="4"/>
    </row>
    <row r="594" ht="15.75" customHeight="1">
      <c r="S594" s="4"/>
    </row>
    <row r="595" ht="15.75" customHeight="1">
      <c r="S595" s="4"/>
    </row>
    <row r="596" ht="15.75" customHeight="1">
      <c r="S596" s="4"/>
    </row>
    <row r="597" ht="15.75" customHeight="1">
      <c r="S597" s="4"/>
    </row>
    <row r="598" ht="15.75" customHeight="1">
      <c r="S598" s="4"/>
    </row>
    <row r="599" ht="15.75" customHeight="1">
      <c r="S599" s="4"/>
    </row>
    <row r="600" ht="15.75" customHeight="1">
      <c r="S600" s="4"/>
    </row>
    <row r="601" ht="15.75" customHeight="1">
      <c r="S601" s="4"/>
    </row>
    <row r="602" ht="15.75" customHeight="1">
      <c r="S602" s="4"/>
    </row>
    <row r="603" ht="15.75" customHeight="1">
      <c r="S603" s="4"/>
    </row>
    <row r="604" ht="15.75" customHeight="1">
      <c r="S604" s="4"/>
    </row>
    <row r="605" ht="15.75" customHeight="1">
      <c r="S605" s="4"/>
    </row>
    <row r="606" ht="15.75" customHeight="1">
      <c r="S606" s="4"/>
    </row>
    <row r="607" ht="15.75" customHeight="1">
      <c r="S607" s="4"/>
    </row>
    <row r="608" ht="15.75" customHeight="1">
      <c r="S608" s="4"/>
    </row>
    <row r="609" ht="15.75" customHeight="1">
      <c r="S609" s="4"/>
    </row>
    <row r="610" ht="15.75" customHeight="1">
      <c r="S610" s="4"/>
    </row>
    <row r="611" ht="15.75" customHeight="1">
      <c r="S611" s="4"/>
    </row>
    <row r="612" ht="15.75" customHeight="1">
      <c r="S612" s="4"/>
    </row>
    <row r="613" ht="15.75" customHeight="1">
      <c r="S613" s="4"/>
    </row>
    <row r="614" ht="15.75" customHeight="1">
      <c r="S614" s="4"/>
    </row>
    <row r="615" ht="15.75" customHeight="1">
      <c r="S615" s="4"/>
    </row>
    <row r="616" ht="15.75" customHeight="1">
      <c r="S616" s="4"/>
    </row>
    <row r="617" ht="15.75" customHeight="1">
      <c r="S617" s="4"/>
    </row>
    <row r="618" ht="15.75" customHeight="1">
      <c r="S618" s="4"/>
    </row>
    <row r="619" ht="15.75" customHeight="1">
      <c r="S619" s="4"/>
    </row>
    <row r="620" ht="15.75" customHeight="1">
      <c r="S620" s="4"/>
    </row>
    <row r="621" ht="15.75" customHeight="1">
      <c r="S621" s="4"/>
    </row>
    <row r="622" ht="15.75" customHeight="1">
      <c r="S622" s="4"/>
    </row>
    <row r="623" ht="15.75" customHeight="1">
      <c r="S623" s="4"/>
    </row>
    <row r="624" ht="15.75" customHeight="1">
      <c r="S624" s="4"/>
    </row>
    <row r="625" ht="15.75" customHeight="1">
      <c r="S625" s="4"/>
    </row>
    <row r="626" ht="15.75" customHeight="1">
      <c r="S626" s="4"/>
    </row>
    <row r="627" ht="15.75" customHeight="1">
      <c r="S627" s="4"/>
    </row>
    <row r="628" ht="15.75" customHeight="1">
      <c r="S628" s="4"/>
    </row>
    <row r="629" ht="15.75" customHeight="1">
      <c r="S629" s="4"/>
    </row>
    <row r="630" ht="15.75" customHeight="1">
      <c r="S630" s="4"/>
    </row>
    <row r="631" ht="15.75" customHeight="1">
      <c r="S631" s="4"/>
    </row>
    <row r="632" ht="15.75" customHeight="1">
      <c r="S632" s="4"/>
    </row>
    <row r="633" ht="15.75" customHeight="1">
      <c r="S633" s="4"/>
    </row>
    <row r="634" ht="15.75" customHeight="1">
      <c r="S634" s="4"/>
    </row>
    <row r="635" ht="15.75" customHeight="1">
      <c r="S635" s="4"/>
    </row>
    <row r="636" ht="15.75" customHeight="1">
      <c r="S636" s="4"/>
    </row>
    <row r="637" ht="15.75" customHeight="1">
      <c r="S637" s="4"/>
    </row>
    <row r="638" ht="15.75" customHeight="1">
      <c r="S638" s="4"/>
    </row>
    <row r="639" ht="15.75" customHeight="1">
      <c r="S639" s="4"/>
    </row>
    <row r="640" ht="15.75" customHeight="1">
      <c r="S640" s="4"/>
    </row>
    <row r="641" ht="15.75" customHeight="1">
      <c r="S641" s="4"/>
    </row>
    <row r="642" ht="15.75" customHeight="1">
      <c r="S642" s="4"/>
    </row>
    <row r="643" ht="15.75" customHeight="1">
      <c r="S643" s="4"/>
    </row>
    <row r="644" ht="15.75" customHeight="1">
      <c r="S644" s="4"/>
    </row>
    <row r="645" ht="15.75" customHeight="1">
      <c r="S645" s="4"/>
    </row>
    <row r="646" ht="15.75" customHeight="1">
      <c r="S646" s="4"/>
    </row>
    <row r="647" ht="15.75" customHeight="1">
      <c r="S647" s="4"/>
    </row>
    <row r="648" ht="15.75" customHeight="1">
      <c r="S648" s="4"/>
    </row>
    <row r="649" ht="15.75" customHeight="1">
      <c r="S649" s="4"/>
    </row>
    <row r="650" ht="15.75" customHeight="1">
      <c r="S650" s="4"/>
    </row>
    <row r="651" ht="15.75" customHeight="1">
      <c r="S651" s="4"/>
    </row>
    <row r="652" ht="15.75" customHeight="1">
      <c r="S652" s="4"/>
    </row>
    <row r="653" ht="15.75" customHeight="1">
      <c r="S653" s="4"/>
    </row>
    <row r="654" ht="15.75" customHeight="1">
      <c r="S654" s="4"/>
    </row>
    <row r="655" ht="15.75" customHeight="1">
      <c r="S655" s="4"/>
    </row>
    <row r="656" ht="15.75" customHeight="1">
      <c r="S656" s="4"/>
    </row>
    <row r="657" ht="15.75" customHeight="1">
      <c r="S657" s="4"/>
    </row>
    <row r="658" ht="15.75" customHeight="1">
      <c r="S658" s="4"/>
    </row>
    <row r="659" ht="15.75" customHeight="1">
      <c r="S659" s="4"/>
    </row>
    <row r="660" ht="15.75" customHeight="1">
      <c r="S660" s="4"/>
    </row>
    <row r="661" ht="15.75" customHeight="1">
      <c r="S661" s="4"/>
    </row>
    <row r="662" ht="15.75" customHeight="1">
      <c r="S662" s="4"/>
    </row>
    <row r="663" ht="15.75" customHeight="1">
      <c r="S663" s="4"/>
    </row>
    <row r="664" ht="15.75" customHeight="1">
      <c r="S664" s="4"/>
    </row>
    <row r="665" ht="15.75" customHeight="1">
      <c r="S665" s="4"/>
    </row>
    <row r="666" ht="15.75" customHeight="1">
      <c r="S666" s="4"/>
    </row>
    <row r="667" ht="15.75" customHeight="1">
      <c r="S667" s="4"/>
    </row>
    <row r="668" ht="15.75" customHeight="1">
      <c r="S668" s="4"/>
    </row>
    <row r="669" ht="15.75" customHeight="1">
      <c r="S669" s="4"/>
    </row>
    <row r="670" ht="15.75" customHeight="1">
      <c r="S670" s="4"/>
    </row>
    <row r="671" ht="15.75" customHeight="1">
      <c r="S671" s="4"/>
    </row>
    <row r="672" ht="15.75" customHeight="1">
      <c r="S672" s="4"/>
    </row>
    <row r="673" ht="15.75" customHeight="1">
      <c r="S673" s="4"/>
    </row>
    <row r="674" ht="15.75" customHeight="1">
      <c r="S674" s="4"/>
    </row>
    <row r="675" ht="15.75" customHeight="1">
      <c r="S675" s="4"/>
    </row>
    <row r="676" ht="15.75" customHeight="1">
      <c r="S676" s="4"/>
    </row>
    <row r="677" ht="15.75" customHeight="1">
      <c r="S677" s="4"/>
    </row>
    <row r="678" ht="15.75" customHeight="1">
      <c r="S678" s="4"/>
    </row>
    <row r="679" ht="15.75" customHeight="1">
      <c r="S679" s="4"/>
    </row>
    <row r="680" ht="15.75" customHeight="1">
      <c r="S680" s="4"/>
    </row>
    <row r="681" ht="15.75" customHeight="1">
      <c r="S681" s="4"/>
    </row>
    <row r="682" ht="15.75" customHeight="1">
      <c r="S682" s="4"/>
    </row>
    <row r="683" ht="15.75" customHeight="1">
      <c r="S683" s="4"/>
    </row>
    <row r="684" ht="15.75" customHeight="1">
      <c r="S684" s="4"/>
    </row>
    <row r="685" ht="15.75" customHeight="1">
      <c r="S685" s="4"/>
    </row>
    <row r="686" ht="15.75" customHeight="1">
      <c r="S686" s="4"/>
    </row>
    <row r="687" ht="15.75" customHeight="1">
      <c r="S687" s="4"/>
    </row>
    <row r="688" ht="15.75" customHeight="1">
      <c r="S688" s="4"/>
    </row>
    <row r="689" ht="15.75" customHeight="1">
      <c r="S689" s="4"/>
    </row>
    <row r="690" ht="15.75" customHeight="1">
      <c r="S690" s="4"/>
    </row>
    <row r="691" ht="15.75" customHeight="1">
      <c r="S691" s="4"/>
    </row>
    <row r="692" ht="15.75" customHeight="1">
      <c r="S692" s="4"/>
    </row>
    <row r="693" ht="15.75" customHeight="1">
      <c r="S693" s="4"/>
    </row>
    <row r="694" ht="15.75" customHeight="1">
      <c r="S694" s="4"/>
    </row>
    <row r="695" ht="15.75" customHeight="1">
      <c r="S695" s="4"/>
    </row>
    <row r="696" ht="15.75" customHeight="1">
      <c r="S696" s="4"/>
    </row>
    <row r="697" ht="15.75" customHeight="1">
      <c r="S697" s="4"/>
    </row>
    <row r="698" ht="15.75" customHeight="1">
      <c r="S698" s="4"/>
    </row>
    <row r="699" ht="15.75" customHeight="1">
      <c r="S699" s="4"/>
    </row>
    <row r="700" ht="15.75" customHeight="1">
      <c r="S700" s="4"/>
    </row>
    <row r="701" ht="15.75" customHeight="1">
      <c r="S701" s="4"/>
    </row>
    <row r="702" ht="15.75" customHeight="1">
      <c r="S702" s="4"/>
    </row>
    <row r="703" ht="15.75" customHeight="1">
      <c r="S703" s="4"/>
    </row>
    <row r="704" ht="15.75" customHeight="1">
      <c r="S704" s="4"/>
    </row>
    <row r="705" ht="15.75" customHeight="1">
      <c r="S705" s="4"/>
    </row>
    <row r="706" ht="15.75" customHeight="1">
      <c r="S706" s="4"/>
    </row>
    <row r="707" ht="15.75" customHeight="1">
      <c r="S707" s="4"/>
    </row>
    <row r="708" ht="15.75" customHeight="1">
      <c r="S708" s="4"/>
    </row>
    <row r="709" ht="15.75" customHeight="1">
      <c r="S709" s="4"/>
    </row>
    <row r="710" ht="15.75" customHeight="1">
      <c r="S710" s="4"/>
    </row>
    <row r="711" ht="15.75" customHeight="1">
      <c r="S711" s="4"/>
    </row>
    <row r="712" ht="15.75" customHeight="1">
      <c r="S712" s="4"/>
    </row>
    <row r="713" ht="15.75" customHeight="1">
      <c r="S713" s="4"/>
    </row>
    <row r="714" ht="15.75" customHeight="1">
      <c r="S714" s="4"/>
    </row>
    <row r="715" ht="15.75" customHeight="1">
      <c r="S715" s="4"/>
    </row>
    <row r="716" ht="15.75" customHeight="1">
      <c r="S716" s="4"/>
    </row>
    <row r="717" ht="15.75" customHeight="1">
      <c r="S717" s="4"/>
    </row>
    <row r="718" ht="15.75" customHeight="1">
      <c r="S718" s="4"/>
    </row>
    <row r="719" ht="15.75" customHeight="1">
      <c r="S719" s="4"/>
    </row>
    <row r="720" ht="15.75" customHeight="1">
      <c r="S720" s="4"/>
    </row>
    <row r="721" ht="15.75" customHeight="1">
      <c r="S721" s="4"/>
    </row>
    <row r="722" ht="15.75" customHeight="1">
      <c r="S722" s="4"/>
    </row>
    <row r="723" ht="15.75" customHeight="1">
      <c r="S723" s="4"/>
    </row>
    <row r="724" ht="15.75" customHeight="1">
      <c r="S724" s="4"/>
    </row>
    <row r="725" ht="15.75" customHeight="1">
      <c r="S725" s="4"/>
    </row>
    <row r="726" ht="15.75" customHeight="1">
      <c r="S726" s="4"/>
    </row>
    <row r="727" ht="15.75" customHeight="1">
      <c r="S727" s="4"/>
    </row>
    <row r="728" ht="15.75" customHeight="1">
      <c r="S728" s="4"/>
    </row>
    <row r="729" ht="15.75" customHeight="1">
      <c r="S729" s="4"/>
    </row>
    <row r="730" ht="15.75" customHeight="1">
      <c r="S730" s="4"/>
    </row>
    <row r="731" ht="15.75" customHeight="1">
      <c r="S731" s="4"/>
    </row>
    <row r="732" ht="15.75" customHeight="1">
      <c r="S732" s="4"/>
    </row>
    <row r="733" ht="15.75" customHeight="1">
      <c r="S733" s="4"/>
    </row>
    <row r="734" ht="15.75" customHeight="1">
      <c r="S734" s="4"/>
    </row>
    <row r="735" ht="15.75" customHeight="1">
      <c r="S735" s="4"/>
    </row>
    <row r="736" ht="15.75" customHeight="1">
      <c r="S736" s="4"/>
    </row>
    <row r="737" ht="15.75" customHeight="1">
      <c r="S737" s="4"/>
    </row>
    <row r="738" ht="15.75" customHeight="1">
      <c r="S738" s="4"/>
    </row>
    <row r="739" ht="15.75" customHeight="1">
      <c r="S739" s="4"/>
    </row>
    <row r="740" ht="15.75" customHeight="1">
      <c r="S740" s="4"/>
    </row>
    <row r="741" ht="15.75" customHeight="1">
      <c r="S741" s="4"/>
    </row>
    <row r="742" ht="15.75" customHeight="1">
      <c r="S742" s="4"/>
    </row>
    <row r="743" ht="15.75" customHeight="1">
      <c r="S743" s="4"/>
    </row>
    <row r="744" ht="15.75" customHeight="1">
      <c r="S744" s="4"/>
    </row>
    <row r="745" ht="15.75" customHeight="1">
      <c r="S745" s="4"/>
    </row>
    <row r="746" ht="15.75" customHeight="1">
      <c r="S746" s="4"/>
    </row>
    <row r="747" ht="15.75" customHeight="1">
      <c r="S747" s="4"/>
    </row>
    <row r="748" ht="15.75" customHeight="1">
      <c r="S748" s="4"/>
    </row>
    <row r="749" ht="15.75" customHeight="1">
      <c r="S749" s="4"/>
    </row>
    <row r="750" ht="15.75" customHeight="1">
      <c r="S750" s="4"/>
    </row>
    <row r="751" ht="15.75" customHeight="1">
      <c r="S751" s="4"/>
    </row>
    <row r="752" ht="15.75" customHeight="1">
      <c r="S752" s="4"/>
    </row>
    <row r="753" ht="15.75" customHeight="1">
      <c r="S753" s="4"/>
    </row>
    <row r="754" ht="15.75" customHeight="1">
      <c r="S754" s="4"/>
    </row>
    <row r="755" ht="15.75" customHeight="1">
      <c r="S755" s="4"/>
    </row>
    <row r="756" ht="15.75" customHeight="1">
      <c r="S756" s="4"/>
    </row>
    <row r="757" ht="15.75" customHeight="1">
      <c r="S757" s="4"/>
    </row>
    <row r="758" ht="15.75" customHeight="1">
      <c r="S758" s="4"/>
    </row>
    <row r="759" ht="15.75" customHeight="1">
      <c r="S759" s="4"/>
    </row>
    <row r="760" ht="15.75" customHeight="1">
      <c r="S760" s="4"/>
    </row>
    <row r="761" ht="15.75" customHeight="1">
      <c r="S761" s="4"/>
    </row>
    <row r="762" ht="15.75" customHeight="1">
      <c r="S762" s="4"/>
    </row>
    <row r="763" ht="15.75" customHeight="1">
      <c r="S763" s="4"/>
    </row>
    <row r="764" ht="15.75" customHeight="1">
      <c r="S764" s="4"/>
    </row>
    <row r="765" ht="15.75" customHeight="1">
      <c r="S765" s="4"/>
    </row>
    <row r="766" ht="15.75" customHeight="1">
      <c r="S766" s="4"/>
    </row>
    <row r="767" ht="15.75" customHeight="1">
      <c r="S767" s="4"/>
    </row>
    <row r="768" ht="15.75" customHeight="1">
      <c r="S768" s="4"/>
    </row>
    <row r="769" ht="15.75" customHeight="1">
      <c r="S769" s="4"/>
    </row>
    <row r="770" ht="15.75" customHeight="1">
      <c r="S770" s="4"/>
    </row>
    <row r="771" ht="15.75" customHeight="1">
      <c r="S771" s="4"/>
    </row>
    <row r="772" ht="15.75" customHeight="1">
      <c r="S772" s="4"/>
    </row>
    <row r="773" ht="15.75" customHeight="1">
      <c r="S773" s="4"/>
    </row>
    <row r="774" ht="15.75" customHeight="1">
      <c r="S774" s="4"/>
    </row>
    <row r="775" ht="15.75" customHeight="1">
      <c r="S775" s="4"/>
    </row>
    <row r="776" ht="15.75" customHeight="1">
      <c r="S776" s="4"/>
    </row>
    <row r="777" ht="15.75" customHeight="1">
      <c r="S777" s="4"/>
    </row>
    <row r="778" ht="15.75" customHeight="1">
      <c r="S778" s="4"/>
    </row>
    <row r="779" ht="15.75" customHeight="1">
      <c r="S779" s="4"/>
    </row>
    <row r="780" ht="15.75" customHeight="1">
      <c r="S780" s="4"/>
    </row>
    <row r="781" ht="15.75" customHeight="1">
      <c r="S781" s="4"/>
    </row>
    <row r="782" ht="15.75" customHeight="1">
      <c r="S782" s="4"/>
    </row>
    <row r="783" ht="15.75" customHeight="1">
      <c r="S783" s="4"/>
    </row>
    <row r="784" ht="15.75" customHeight="1">
      <c r="S784" s="4"/>
    </row>
    <row r="785" ht="15.75" customHeight="1">
      <c r="S785" s="4"/>
    </row>
    <row r="786" ht="15.75" customHeight="1">
      <c r="S786" s="4"/>
    </row>
    <row r="787" ht="15.75" customHeight="1">
      <c r="S787" s="4"/>
    </row>
    <row r="788" ht="15.75" customHeight="1">
      <c r="S788" s="4"/>
    </row>
    <row r="789" ht="15.75" customHeight="1">
      <c r="S789" s="4"/>
    </row>
    <row r="790" ht="15.75" customHeight="1">
      <c r="S790" s="4"/>
    </row>
    <row r="791" ht="15.75" customHeight="1">
      <c r="S791" s="4"/>
    </row>
    <row r="792" ht="15.75" customHeight="1">
      <c r="S792" s="4"/>
    </row>
    <row r="793" ht="15.75" customHeight="1">
      <c r="S793" s="4"/>
    </row>
    <row r="794" ht="15.75" customHeight="1">
      <c r="S794" s="4"/>
    </row>
    <row r="795" ht="15.75" customHeight="1">
      <c r="S795" s="4"/>
    </row>
    <row r="796" ht="15.75" customHeight="1">
      <c r="S796" s="4"/>
    </row>
    <row r="797" ht="15.75" customHeight="1">
      <c r="S797" s="4"/>
    </row>
    <row r="798" ht="15.75" customHeight="1">
      <c r="S798" s="4"/>
    </row>
    <row r="799" ht="15.75" customHeight="1">
      <c r="S799" s="4"/>
    </row>
    <row r="800" ht="15.75" customHeight="1">
      <c r="S800" s="4"/>
    </row>
    <row r="801" ht="15.75" customHeight="1">
      <c r="S801" s="4"/>
    </row>
    <row r="802" ht="15.75" customHeight="1">
      <c r="S802" s="4"/>
    </row>
    <row r="803" ht="15.75" customHeight="1">
      <c r="S803" s="4"/>
    </row>
    <row r="804" ht="15.75" customHeight="1">
      <c r="S804" s="4"/>
    </row>
    <row r="805" ht="15.75" customHeight="1">
      <c r="S805" s="4"/>
    </row>
    <row r="806" ht="15.75" customHeight="1">
      <c r="S806" s="4"/>
    </row>
    <row r="807" ht="15.75" customHeight="1">
      <c r="S807" s="4"/>
    </row>
    <row r="808" ht="15.75" customHeight="1">
      <c r="S808" s="4"/>
    </row>
    <row r="809" ht="15.75" customHeight="1">
      <c r="S809" s="4"/>
    </row>
    <row r="810" ht="15.75" customHeight="1">
      <c r="S810" s="4"/>
    </row>
    <row r="811" ht="15.75" customHeight="1">
      <c r="S811" s="4"/>
    </row>
    <row r="812" ht="15.75" customHeight="1">
      <c r="S812" s="4"/>
    </row>
    <row r="813" ht="15.75" customHeight="1">
      <c r="S813" s="4"/>
    </row>
    <row r="814" ht="15.75" customHeight="1">
      <c r="S814" s="4"/>
    </row>
    <row r="815" ht="15.75" customHeight="1">
      <c r="S815" s="4"/>
    </row>
    <row r="816" ht="15.75" customHeight="1">
      <c r="S816" s="4"/>
    </row>
    <row r="817" ht="15.75" customHeight="1">
      <c r="S817" s="4"/>
    </row>
    <row r="818" ht="15.75" customHeight="1">
      <c r="S818" s="4"/>
    </row>
    <row r="819" ht="15.75" customHeight="1">
      <c r="S819" s="4"/>
    </row>
    <row r="820" ht="15.75" customHeight="1">
      <c r="S820" s="4"/>
    </row>
    <row r="821" ht="15.75" customHeight="1">
      <c r="S821" s="4"/>
    </row>
    <row r="822" ht="15.75" customHeight="1">
      <c r="S822" s="4"/>
    </row>
    <row r="823" ht="15.75" customHeight="1">
      <c r="S823" s="4"/>
    </row>
    <row r="824" ht="15.75" customHeight="1">
      <c r="S824" s="4"/>
    </row>
    <row r="825" ht="15.75" customHeight="1">
      <c r="S825" s="4"/>
    </row>
    <row r="826" ht="15.75" customHeight="1">
      <c r="S826" s="4"/>
    </row>
    <row r="827" ht="15.75" customHeight="1">
      <c r="S827" s="4"/>
    </row>
    <row r="828" ht="15.75" customHeight="1">
      <c r="S828" s="4"/>
    </row>
    <row r="829" ht="15.75" customHeight="1">
      <c r="S829" s="4"/>
    </row>
    <row r="830" ht="15.75" customHeight="1">
      <c r="S830" s="4"/>
    </row>
    <row r="831" ht="15.75" customHeight="1">
      <c r="S831" s="4"/>
    </row>
    <row r="832" ht="15.75" customHeight="1">
      <c r="S832" s="4"/>
    </row>
    <row r="833" ht="15.75" customHeight="1">
      <c r="S833" s="4"/>
    </row>
    <row r="834" ht="15.75" customHeight="1">
      <c r="S834" s="4"/>
    </row>
    <row r="835" ht="15.75" customHeight="1">
      <c r="S835" s="4"/>
    </row>
    <row r="836" ht="15.75" customHeight="1">
      <c r="S836" s="4"/>
    </row>
    <row r="837" ht="15.75" customHeight="1">
      <c r="S837" s="4"/>
    </row>
    <row r="838" ht="15.75" customHeight="1">
      <c r="S838" s="4"/>
    </row>
    <row r="839" ht="15.75" customHeight="1">
      <c r="S839" s="4"/>
    </row>
    <row r="840" ht="15.75" customHeight="1">
      <c r="S840" s="4"/>
    </row>
    <row r="841" ht="15.75" customHeight="1">
      <c r="S841" s="4"/>
    </row>
    <row r="842" ht="15.75" customHeight="1">
      <c r="S842" s="4"/>
    </row>
    <row r="843" ht="15.75" customHeight="1">
      <c r="S843" s="4"/>
    </row>
    <row r="844" ht="15.75" customHeight="1">
      <c r="S844" s="4"/>
    </row>
    <row r="845" ht="15.75" customHeight="1">
      <c r="S845" s="4"/>
    </row>
    <row r="846" ht="15.75" customHeight="1">
      <c r="S846" s="4"/>
    </row>
    <row r="847" ht="15.75" customHeight="1">
      <c r="S847" s="4"/>
    </row>
    <row r="848" ht="15.75" customHeight="1">
      <c r="S848" s="4"/>
    </row>
    <row r="849" ht="15.75" customHeight="1">
      <c r="S849" s="4"/>
    </row>
    <row r="850" ht="15.75" customHeight="1">
      <c r="S850" s="4"/>
    </row>
    <row r="851" ht="15.75" customHeight="1">
      <c r="S851" s="4"/>
    </row>
    <row r="852" ht="15.75" customHeight="1">
      <c r="S852" s="4"/>
    </row>
    <row r="853" ht="15.75" customHeight="1">
      <c r="S853" s="4"/>
    </row>
    <row r="854" ht="15.75" customHeight="1">
      <c r="S854" s="4"/>
    </row>
    <row r="855" ht="15.75" customHeight="1">
      <c r="S855" s="4"/>
    </row>
    <row r="856" ht="15.75" customHeight="1">
      <c r="S856" s="4"/>
    </row>
    <row r="857" ht="15.75" customHeight="1">
      <c r="S857" s="4"/>
    </row>
    <row r="858" ht="15.75" customHeight="1">
      <c r="S858" s="4"/>
    </row>
    <row r="859" ht="15.75" customHeight="1">
      <c r="S859" s="4"/>
    </row>
    <row r="860" ht="15.75" customHeight="1">
      <c r="S860" s="4"/>
    </row>
    <row r="861" ht="15.75" customHeight="1">
      <c r="S861" s="4"/>
    </row>
    <row r="862" ht="15.75" customHeight="1">
      <c r="S862" s="4"/>
    </row>
    <row r="863" ht="15.75" customHeight="1">
      <c r="S863" s="4"/>
    </row>
    <row r="864" ht="15.75" customHeight="1">
      <c r="S864" s="4"/>
    </row>
    <row r="865" ht="15.75" customHeight="1">
      <c r="S865" s="4"/>
    </row>
    <row r="866" ht="15.75" customHeight="1">
      <c r="S866" s="4"/>
    </row>
    <row r="867" ht="15.75" customHeight="1">
      <c r="S867" s="4"/>
    </row>
    <row r="868" ht="15.75" customHeight="1">
      <c r="S868" s="4"/>
    </row>
    <row r="869" ht="15.75" customHeight="1">
      <c r="S869" s="4"/>
    </row>
    <row r="870" ht="15.75" customHeight="1">
      <c r="S870" s="4"/>
    </row>
    <row r="871" ht="15.75" customHeight="1">
      <c r="S871" s="4"/>
    </row>
    <row r="872" ht="15.75" customHeight="1">
      <c r="S872" s="4"/>
    </row>
    <row r="873" ht="15.75" customHeight="1">
      <c r="S873" s="4"/>
    </row>
    <row r="874" ht="15.75" customHeight="1">
      <c r="S874" s="4"/>
    </row>
    <row r="875" ht="15.75" customHeight="1">
      <c r="S875" s="4"/>
    </row>
    <row r="876" ht="15.75" customHeight="1">
      <c r="S876" s="4"/>
    </row>
    <row r="877" ht="15.75" customHeight="1">
      <c r="S877" s="4"/>
    </row>
    <row r="878" ht="15.75" customHeight="1">
      <c r="S878" s="4"/>
    </row>
    <row r="879" ht="15.75" customHeight="1">
      <c r="S879" s="4"/>
    </row>
    <row r="880" ht="15.75" customHeight="1">
      <c r="S880" s="4"/>
    </row>
    <row r="881" ht="15.75" customHeight="1">
      <c r="S881" s="4"/>
    </row>
    <row r="882" ht="15.75" customHeight="1">
      <c r="S882" s="4"/>
    </row>
    <row r="883" ht="15.75" customHeight="1">
      <c r="S883" s="4"/>
    </row>
    <row r="884" ht="15.75" customHeight="1">
      <c r="S884" s="4"/>
    </row>
    <row r="885" ht="15.75" customHeight="1">
      <c r="S885" s="4"/>
    </row>
    <row r="886" ht="15.75" customHeight="1">
      <c r="S886" s="4"/>
    </row>
    <row r="887" ht="15.75" customHeight="1">
      <c r="S887" s="4"/>
    </row>
    <row r="888" ht="15.75" customHeight="1">
      <c r="S888" s="4"/>
    </row>
    <row r="889" ht="15.75" customHeight="1">
      <c r="S889" s="4"/>
    </row>
    <row r="890" ht="15.75" customHeight="1">
      <c r="S890" s="4"/>
    </row>
    <row r="891" ht="15.75" customHeight="1">
      <c r="S891" s="4"/>
    </row>
    <row r="892" ht="15.75" customHeight="1">
      <c r="S892" s="4"/>
    </row>
    <row r="893" ht="15.75" customHeight="1">
      <c r="S893" s="4"/>
    </row>
    <row r="894" ht="15.75" customHeight="1">
      <c r="S894" s="4"/>
    </row>
    <row r="895" ht="15.75" customHeight="1">
      <c r="S895" s="4"/>
    </row>
    <row r="896" ht="15.75" customHeight="1">
      <c r="S896" s="4"/>
    </row>
    <row r="897" ht="15.75" customHeight="1">
      <c r="S897" s="4"/>
    </row>
    <row r="898" ht="15.75" customHeight="1">
      <c r="S898" s="4"/>
    </row>
    <row r="899" ht="15.75" customHeight="1">
      <c r="S899" s="4"/>
    </row>
    <row r="900" ht="15.75" customHeight="1">
      <c r="S900" s="4"/>
    </row>
    <row r="901" ht="15.75" customHeight="1">
      <c r="S901" s="4"/>
    </row>
    <row r="902" ht="15.75" customHeight="1">
      <c r="S902" s="4"/>
    </row>
    <row r="903" ht="15.75" customHeight="1">
      <c r="S903" s="4"/>
    </row>
    <row r="904" ht="15.75" customHeight="1">
      <c r="S904" s="4"/>
    </row>
    <row r="905" ht="15.75" customHeight="1">
      <c r="S905" s="4"/>
    </row>
    <row r="906" ht="15.75" customHeight="1">
      <c r="S906" s="4"/>
    </row>
    <row r="907" ht="15.75" customHeight="1">
      <c r="S907" s="4"/>
    </row>
    <row r="908" ht="15.75" customHeight="1">
      <c r="S908" s="4"/>
    </row>
    <row r="909" ht="15.75" customHeight="1">
      <c r="S909" s="4"/>
    </row>
    <row r="910" ht="15.75" customHeight="1">
      <c r="S910" s="4"/>
    </row>
    <row r="911" ht="15.75" customHeight="1">
      <c r="S911" s="4"/>
    </row>
    <row r="912" ht="15.75" customHeight="1">
      <c r="S912" s="4"/>
    </row>
    <row r="913" ht="15.75" customHeight="1">
      <c r="S913" s="4"/>
    </row>
    <row r="914" ht="15.75" customHeight="1">
      <c r="S914" s="4"/>
    </row>
    <row r="915" ht="15.75" customHeight="1">
      <c r="S915" s="4"/>
    </row>
    <row r="916" ht="15.75" customHeight="1">
      <c r="S916" s="4"/>
    </row>
    <row r="917" ht="15.75" customHeight="1">
      <c r="S917" s="4"/>
    </row>
    <row r="918" ht="15.75" customHeight="1">
      <c r="S918" s="4"/>
    </row>
    <row r="919" ht="15.75" customHeight="1">
      <c r="S919" s="4"/>
    </row>
    <row r="920" ht="15.75" customHeight="1">
      <c r="S920" s="4"/>
    </row>
    <row r="921" ht="15.75" customHeight="1">
      <c r="S921" s="4"/>
    </row>
    <row r="922" ht="15.75" customHeight="1">
      <c r="S922" s="4"/>
    </row>
    <row r="923" ht="15.75" customHeight="1">
      <c r="S923" s="4"/>
    </row>
    <row r="924" ht="15.75" customHeight="1">
      <c r="S924" s="4"/>
    </row>
    <row r="925" ht="15.75" customHeight="1">
      <c r="S925" s="4"/>
    </row>
    <row r="926" ht="15.75" customHeight="1">
      <c r="S926" s="4"/>
    </row>
    <row r="927" ht="15.75" customHeight="1">
      <c r="S927" s="4"/>
    </row>
    <row r="928" ht="15.75" customHeight="1">
      <c r="S928" s="4"/>
    </row>
    <row r="929" ht="15.75" customHeight="1">
      <c r="S929" s="4"/>
    </row>
    <row r="930" ht="15.75" customHeight="1">
      <c r="S930" s="4"/>
    </row>
    <row r="931" ht="15.75" customHeight="1">
      <c r="S931" s="4"/>
    </row>
    <row r="932" ht="15.75" customHeight="1">
      <c r="S932" s="4"/>
    </row>
    <row r="933" ht="15.75" customHeight="1">
      <c r="S933" s="4"/>
    </row>
    <row r="934" ht="15.75" customHeight="1">
      <c r="S934" s="4"/>
    </row>
    <row r="935" ht="15.75" customHeight="1">
      <c r="S935" s="4"/>
    </row>
    <row r="936" ht="15.75" customHeight="1">
      <c r="S936" s="4"/>
    </row>
    <row r="937" ht="15.75" customHeight="1">
      <c r="S937" s="4"/>
    </row>
    <row r="938" ht="15.75" customHeight="1">
      <c r="S938" s="4"/>
    </row>
    <row r="939" ht="15.75" customHeight="1">
      <c r="S939" s="4"/>
    </row>
    <row r="940" ht="15.75" customHeight="1">
      <c r="S940" s="4"/>
    </row>
    <row r="941" ht="15.75" customHeight="1">
      <c r="S941" s="4"/>
    </row>
    <row r="942" ht="15.75" customHeight="1">
      <c r="S942" s="4"/>
    </row>
    <row r="943" ht="15.75" customHeight="1">
      <c r="S943" s="4"/>
    </row>
    <row r="944" ht="15.75" customHeight="1">
      <c r="S944" s="4"/>
    </row>
    <row r="945" ht="15.75" customHeight="1">
      <c r="S945" s="4"/>
    </row>
    <row r="946" ht="15.75" customHeight="1">
      <c r="S946" s="4"/>
    </row>
    <row r="947" ht="15.75" customHeight="1">
      <c r="S947" s="4"/>
    </row>
    <row r="948" ht="15.75" customHeight="1">
      <c r="S948" s="4"/>
    </row>
    <row r="949" ht="15.75" customHeight="1">
      <c r="S949" s="4"/>
    </row>
    <row r="950" ht="15.75" customHeight="1">
      <c r="S950" s="4"/>
    </row>
    <row r="951" ht="15.75" customHeight="1">
      <c r="S951" s="4"/>
    </row>
    <row r="952" ht="15.75" customHeight="1">
      <c r="S952" s="4"/>
    </row>
    <row r="953" ht="15.75" customHeight="1">
      <c r="S953" s="4"/>
    </row>
    <row r="954" ht="15.75" customHeight="1">
      <c r="S954" s="4"/>
    </row>
    <row r="955" ht="15.75" customHeight="1">
      <c r="S955" s="4"/>
    </row>
    <row r="956" ht="15.75" customHeight="1">
      <c r="S956" s="4"/>
    </row>
    <row r="957" ht="15.75" customHeight="1">
      <c r="S957" s="4"/>
    </row>
    <row r="958" ht="15.75" customHeight="1">
      <c r="S958" s="4"/>
    </row>
    <row r="959" ht="15.75" customHeight="1">
      <c r="S959" s="4"/>
    </row>
    <row r="960" ht="15.75" customHeight="1">
      <c r="S960" s="4"/>
    </row>
    <row r="961" ht="15.75" customHeight="1">
      <c r="S961" s="4"/>
    </row>
    <row r="962" ht="15.75" customHeight="1">
      <c r="S962" s="4"/>
    </row>
    <row r="963" ht="15.75" customHeight="1">
      <c r="S963" s="4"/>
    </row>
    <row r="964" ht="15.75" customHeight="1">
      <c r="S964" s="4"/>
    </row>
    <row r="965" ht="15.75" customHeight="1">
      <c r="S965" s="4"/>
    </row>
    <row r="966" ht="15.75" customHeight="1">
      <c r="S966" s="4"/>
    </row>
    <row r="967" ht="15.75" customHeight="1">
      <c r="S967" s="4"/>
    </row>
    <row r="968" ht="15.75" customHeight="1">
      <c r="S968" s="4"/>
    </row>
    <row r="969" ht="15.75" customHeight="1">
      <c r="S969" s="4"/>
    </row>
    <row r="970" ht="15.75" customHeight="1">
      <c r="S970" s="4"/>
    </row>
    <row r="971" ht="15.75" customHeight="1">
      <c r="S971" s="4"/>
    </row>
    <row r="972" ht="15.75" customHeight="1">
      <c r="S972" s="4"/>
    </row>
    <row r="973" ht="15.75" customHeight="1">
      <c r="S973" s="4"/>
    </row>
    <row r="974" ht="15.75" customHeight="1">
      <c r="S974" s="4"/>
    </row>
    <row r="975" ht="15.75" customHeight="1">
      <c r="S975" s="4"/>
    </row>
    <row r="976" ht="15.75" customHeight="1">
      <c r="S976" s="4"/>
    </row>
    <row r="977" ht="15.75" customHeight="1">
      <c r="S977" s="4"/>
    </row>
    <row r="978" ht="15.75" customHeight="1">
      <c r="S978" s="4"/>
    </row>
    <row r="979" ht="15.75" customHeight="1">
      <c r="S979" s="4"/>
    </row>
    <row r="980" ht="15.75" customHeight="1">
      <c r="S980" s="4"/>
    </row>
    <row r="981" ht="15.75" customHeight="1">
      <c r="S981" s="4"/>
    </row>
    <row r="982" ht="15.75" customHeight="1">
      <c r="S982" s="4"/>
    </row>
    <row r="983" ht="15.75" customHeight="1">
      <c r="S983" s="4"/>
    </row>
    <row r="984" ht="15.75" customHeight="1">
      <c r="S984" s="4"/>
    </row>
    <row r="985" ht="15.75" customHeight="1">
      <c r="S985" s="4"/>
    </row>
    <row r="986" ht="15.75" customHeight="1">
      <c r="S986" s="4"/>
    </row>
    <row r="987" ht="15.75" customHeight="1">
      <c r="S987" s="4"/>
    </row>
    <row r="988" ht="15.75" customHeight="1">
      <c r="S988" s="4"/>
    </row>
    <row r="989" ht="15.75" customHeight="1">
      <c r="S989" s="4"/>
    </row>
    <row r="990" ht="15.75" customHeight="1">
      <c r="S990" s="4"/>
    </row>
    <row r="991" ht="15.75" customHeight="1">
      <c r="S991" s="4"/>
    </row>
    <row r="992" ht="15.75" customHeight="1">
      <c r="S992" s="4"/>
    </row>
    <row r="993" ht="15.75" customHeight="1">
      <c r="S993" s="4"/>
    </row>
    <row r="994" ht="15.75" customHeight="1">
      <c r="S994" s="4"/>
    </row>
    <row r="995" ht="15.75" customHeight="1">
      <c r="S995" s="4"/>
    </row>
    <row r="996" ht="15.75" customHeight="1">
      <c r="S996" s="4"/>
    </row>
    <row r="997" ht="15.75" customHeight="1">
      <c r="S997" s="4"/>
    </row>
    <row r="998" ht="15.75" customHeight="1">
      <c r="S998" s="4"/>
    </row>
    <row r="999" ht="15.75" customHeight="1">
      <c r="S999" s="4"/>
    </row>
    <row r="1000" ht="15.75" customHeight="1">
      <c r="S1000" s="4"/>
    </row>
  </sheetData>
  <printOptions/>
  <pageMargins bottom="1.0" footer="0.0" header="0.0" left="0.75" right="0.75" top="1.0"/>
  <pageSetup orientation="landscape"/>
  <drawing r:id="rId1"/>
</worksheet>
</file>